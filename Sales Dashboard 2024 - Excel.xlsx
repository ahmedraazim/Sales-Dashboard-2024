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https://d.docs.live.net/73ca619ae0986316/Desktop/Sales Dashboard 2024/"/>
    </mc:Choice>
  </mc:AlternateContent>
  <xr:revisionPtr revIDLastSave="1" documentId="13_ncr:1_{5EDF313C-EFDC-48E8-A7C6-0EC83E5DF920}" xr6:coauthVersionLast="47" xr6:coauthVersionMax="47" xr10:uidLastSave="{A6C76CB1-FF16-45ED-B850-77636DAE637C}"/>
  <bookViews>
    <workbookView xWindow="-110" yWindow="-110" windowWidth="22620" windowHeight="13500" activeTab="2" xr2:uid="{00000000-000D-0000-FFFF-FFFF00000000}"/>
  </bookViews>
  <sheets>
    <sheet name="Pivot Tables" sheetId="4" r:id="rId1"/>
    <sheet name="Sheet3" sheetId="5" r:id="rId2"/>
    <sheet name="Sales Data" sheetId="1" r:id="rId3"/>
  </sheets>
  <definedNames>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9" i="1" l="1"/>
  <c r="M6" i="1"/>
  <c r="M15" i="1"/>
  <c r="I3" i="1"/>
  <c r="I5" i="1"/>
  <c r="I11" i="1"/>
  <c r="I12" i="1"/>
  <c r="I13" i="1"/>
  <c r="I23" i="1"/>
  <c r="I24" i="1"/>
  <c r="I25" i="1"/>
  <c r="I35" i="1"/>
  <c r="I36" i="1"/>
  <c r="I37" i="1"/>
  <c r="I47" i="1"/>
  <c r="I48" i="1"/>
  <c r="I49" i="1"/>
  <c r="I59" i="1"/>
  <c r="I60" i="1"/>
  <c r="I61" i="1"/>
  <c r="I71" i="1"/>
  <c r="I72" i="1"/>
  <c r="I73" i="1"/>
  <c r="I83" i="1"/>
  <c r="I84" i="1"/>
  <c r="I85" i="1"/>
  <c r="I95" i="1"/>
  <c r="I96" i="1"/>
  <c r="I97" i="1"/>
  <c r="I107" i="1"/>
  <c r="I108" i="1"/>
  <c r="I109" i="1"/>
  <c r="I119" i="1"/>
  <c r="I120" i="1"/>
  <c r="I121" i="1"/>
  <c r="I126" i="1"/>
  <c r="I131" i="1"/>
  <c r="I132" i="1"/>
  <c r="I133" i="1"/>
  <c r="I137" i="1"/>
  <c r="I138" i="1"/>
  <c r="I143" i="1"/>
  <c r="I144" i="1"/>
  <c r="I145" i="1"/>
  <c r="I149" i="1"/>
  <c r="I150" i="1"/>
  <c r="I155" i="1"/>
  <c r="I156" i="1"/>
  <c r="I157" i="1"/>
  <c r="I161" i="1"/>
  <c r="I162" i="1"/>
  <c r="I167" i="1"/>
  <c r="I168" i="1"/>
  <c r="I169" i="1"/>
  <c r="I173" i="1"/>
  <c r="I174" i="1"/>
  <c r="I179" i="1"/>
  <c r="I180" i="1"/>
  <c r="I181" i="1"/>
  <c r="I185" i="1"/>
  <c r="I186" i="1"/>
  <c r="I191" i="1"/>
  <c r="I192" i="1"/>
  <c r="I193" i="1"/>
  <c r="I197" i="1"/>
  <c r="I198" i="1"/>
  <c r="I203" i="1"/>
  <c r="I204" i="1"/>
  <c r="I205" i="1"/>
  <c r="I209" i="1"/>
  <c r="I210" i="1"/>
  <c r="I212" i="1"/>
  <c r="I215" i="1"/>
  <c r="I216" i="1"/>
  <c r="I217" i="1"/>
  <c r="I221" i="1"/>
  <c r="I222" i="1"/>
  <c r="I224" i="1"/>
  <c r="I227" i="1"/>
  <c r="I228" i="1"/>
  <c r="I229" i="1"/>
  <c r="I233" i="1"/>
  <c r="I234" i="1"/>
  <c r="I236" i="1"/>
  <c r="I239" i="1"/>
  <c r="I240" i="1"/>
  <c r="I241" i="1"/>
  <c r="I245" i="1"/>
  <c r="I246" i="1"/>
  <c r="I248" i="1"/>
  <c r="I251" i="1"/>
  <c r="I252" i="1"/>
  <c r="I253" i="1"/>
  <c r="I257" i="1"/>
  <c r="I258" i="1"/>
  <c r="I260" i="1"/>
  <c r="I263" i="1"/>
  <c r="I264" i="1"/>
  <c r="I265" i="1"/>
  <c r="I269" i="1"/>
  <c r="I270" i="1"/>
  <c r="I272" i="1"/>
  <c r="I275" i="1"/>
  <c r="I276" i="1"/>
  <c r="I277" i="1"/>
  <c r="I281" i="1"/>
  <c r="I282" i="1"/>
  <c r="I284" i="1"/>
  <c r="I287" i="1"/>
  <c r="I288" i="1"/>
  <c r="I289" i="1"/>
  <c r="I293" i="1"/>
  <c r="I294" i="1"/>
  <c r="I296" i="1"/>
  <c r="I299" i="1"/>
  <c r="I300" i="1"/>
  <c r="I301" i="1"/>
  <c r="H301" i="1"/>
  <c r="H300" i="1"/>
  <c r="H299" i="1"/>
  <c r="H298" i="1"/>
  <c r="I298" i="1" s="1"/>
  <c r="H297" i="1"/>
  <c r="I297" i="1" s="1"/>
  <c r="H296" i="1"/>
  <c r="H295" i="1"/>
  <c r="I295" i="1" s="1"/>
  <c r="H294" i="1"/>
  <c r="H293" i="1"/>
  <c r="H292" i="1"/>
  <c r="I292" i="1" s="1"/>
  <c r="H291" i="1"/>
  <c r="I291" i="1" s="1"/>
  <c r="H290" i="1"/>
  <c r="I290" i="1" s="1"/>
  <c r="H289" i="1"/>
  <c r="H288" i="1"/>
  <c r="H287" i="1"/>
  <c r="H286" i="1"/>
  <c r="I286" i="1" s="1"/>
  <c r="H285" i="1"/>
  <c r="I285" i="1" s="1"/>
  <c r="H284" i="1"/>
  <c r="H283" i="1"/>
  <c r="I283" i="1" s="1"/>
  <c r="H282" i="1"/>
  <c r="H281" i="1"/>
  <c r="H280" i="1"/>
  <c r="I280" i="1" s="1"/>
  <c r="H279" i="1"/>
  <c r="I279" i="1" s="1"/>
  <c r="H278" i="1"/>
  <c r="I278" i="1" s="1"/>
  <c r="H277" i="1"/>
  <c r="H276" i="1"/>
  <c r="H275" i="1"/>
  <c r="H274" i="1"/>
  <c r="I274" i="1" s="1"/>
  <c r="H273" i="1"/>
  <c r="I273" i="1" s="1"/>
  <c r="H272" i="1"/>
  <c r="H271" i="1"/>
  <c r="I271" i="1" s="1"/>
  <c r="H270" i="1"/>
  <c r="H269" i="1"/>
  <c r="H268" i="1"/>
  <c r="I268" i="1" s="1"/>
  <c r="H267" i="1"/>
  <c r="I267" i="1" s="1"/>
  <c r="H266" i="1"/>
  <c r="I266" i="1" s="1"/>
  <c r="H265" i="1"/>
  <c r="H264" i="1"/>
  <c r="H263" i="1"/>
  <c r="H262" i="1"/>
  <c r="I262" i="1" s="1"/>
  <c r="H261" i="1"/>
  <c r="I261" i="1" s="1"/>
  <c r="H260" i="1"/>
  <c r="H259" i="1"/>
  <c r="I259" i="1" s="1"/>
  <c r="H258" i="1"/>
  <c r="H257" i="1"/>
  <c r="H256" i="1"/>
  <c r="I256" i="1" s="1"/>
  <c r="H255" i="1"/>
  <c r="I255" i="1" s="1"/>
  <c r="H254" i="1"/>
  <c r="I254" i="1" s="1"/>
  <c r="H253" i="1"/>
  <c r="H252" i="1"/>
  <c r="H251" i="1"/>
  <c r="H250" i="1"/>
  <c r="I250" i="1" s="1"/>
  <c r="H249" i="1"/>
  <c r="I249" i="1" s="1"/>
  <c r="H248" i="1"/>
  <c r="H247" i="1"/>
  <c r="I247" i="1" s="1"/>
  <c r="H246" i="1"/>
  <c r="H245" i="1"/>
  <c r="H244" i="1"/>
  <c r="I244" i="1" s="1"/>
  <c r="H243" i="1"/>
  <c r="I243" i="1" s="1"/>
  <c r="H242" i="1"/>
  <c r="I242" i="1" s="1"/>
  <c r="H241" i="1"/>
  <c r="H240" i="1"/>
  <c r="H239" i="1"/>
  <c r="H238" i="1"/>
  <c r="I238" i="1" s="1"/>
  <c r="H237" i="1"/>
  <c r="I237" i="1" s="1"/>
  <c r="H236" i="1"/>
  <c r="H235" i="1"/>
  <c r="I235" i="1" s="1"/>
  <c r="H234" i="1"/>
  <c r="H233" i="1"/>
  <c r="H232" i="1"/>
  <c r="I232" i="1" s="1"/>
  <c r="H231" i="1"/>
  <c r="I231" i="1" s="1"/>
  <c r="H230" i="1"/>
  <c r="I230" i="1" s="1"/>
  <c r="H229" i="1"/>
  <c r="H228" i="1"/>
  <c r="H227" i="1"/>
  <c r="H226" i="1"/>
  <c r="I226" i="1" s="1"/>
  <c r="H225" i="1"/>
  <c r="I225" i="1" s="1"/>
  <c r="H224" i="1"/>
  <c r="H223" i="1"/>
  <c r="I223" i="1" s="1"/>
  <c r="H222" i="1"/>
  <c r="H221" i="1"/>
  <c r="H220" i="1"/>
  <c r="I220" i="1" s="1"/>
  <c r="H219" i="1"/>
  <c r="I219" i="1" s="1"/>
  <c r="H218" i="1"/>
  <c r="I218" i="1" s="1"/>
  <c r="H217" i="1"/>
  <c r="H216" i="1"/>
  <c r="H215" i="1"/>
  <c r="H214" i="1"/>
  <c r="I214" i="1" s="1"/>
  <c r="H213" i="1"/>
  <c r="I213" i="1" s="1"/>
  <c r="H212" i="1"/>
  <c r="H211" i="1"/>
  <c r="I211" i="1" s="1"/>
  <c r="H210" i="1"/>
  <c r="H209" i="1"/>
  <c r="H208" i="1"/>
  <c r="I208" i="1" s="1"/>
  <c r="H207" i="1"/>
  <c r="I207" i="1" s="1"/>
  <c r="H206" i="1"/>
  <c r="I206" i="1" s="1"/>
  <c r="H205" i="1"/>
  <c r="H204" i="1"/>
  <c r="H203" i="1"/>
  <c r="H202" i="1"/>
  <c r="I202" i="1" s="1"/>
  <c r="H201" i="1"/>
  <c r="I201" i="1" s="1"/>
  <c r="H200" i="1"/>
  <c r="I200" i="1" s="1"/>
  <c r="H199" i="1"/>
  <c r="I199" i="1" s="1"/>
  <c r="H198" i="1"/>
  <c r="H197" i="1"/>
  <c r="H196" i="1"/>
  <c r="I196" i="1" s="1"/>
  <c r="H195" i="1"/>
  <c r="I195" i="1" s="1"/>
  <c r="H194" i="1"/>
  <c r="I194" i="1" s="1"/>
  <c r="H193" i="1"/>
  <c r="H192" i="1"/>
  <c r="H191" i="1"/>
  <c r="H190" i="1"/>
  <c r="I190" i="1" s="1"/>
  <c r="H189" i="1"/>
  <c r="I189" i="1" s="1"/>
  <c r="H188" i="1"/>
  <c r="I188" i="1" s="1"/>
  <c r="H187" i="1"/>
  <c r="I187" i="1" s="1"/>
  <c r="H186" i="1"/>
  <c r="H185" i="1"/>
  <c r="H184" i="1"/>
  <c r="I184" i="1" s="1"/>
  <c r="H183" i="1"/>
  <c r="I183" i="1" s="1"/>
  <c r="H182" i="1"/>
  <c r="I182" i="1" s="1"/>
  <c r="H181" i="1"/>
  <c r="H180" i="1"/>
  <c r="H179" i="1"/>
  <c r="H178" i="1"/>
  <c r="I178" i="1" s="1"/>
  <c r="H177" i="1"/>
  <c r="I177" i="1" s="1"/>
  <c r="H176" i="1"/>
  <c r="I176" i="1" s="1"/>
  <c r="H175" i="1"/>
  <c r="I175" i="1" s="1"/>
  <c r="H174" i="1"/>
  <c r="H173" i="1"/>
  <c r="H172" i="1"/>
  <c r="I172" i="1" s="1"/>
  <c r="H171" i="1"/>
  <c r="I171" i="1" s="1"/>
  <c r="H170" i="1"/>
  <c r="I170" i="1" s="1"/>
  <c r="H169" i="1"/>
  <c r="H168" i="1"/>
  <c r="H167" i="1"/>
  <c r="H166" i="1"/>
  <c r="I166" i="1" s="1"/>
  <c r="H165" i="1"/>
  <c r="I165" i="1" s="1"/>
  <c r="H164" i="1"/>
  <c r="I164" i="1" s="1"/>
  <c r="H163" i="1"/>
  <c r="I163" i="1" s="1"/>
  <c r="H162" i="1"/>
  <c r="H161" i="1"/>
  <c r="H160" i="1"/>
  <c r="I160" i="1" s="1"/>
  <c r="H159" i="1"/>
  <c r="I159" i="1" s="1"/>
  <c r="H158" i="1"/>
  <c r="I158" i="1" s="1"/>
  <c r="H157" i="1"/>
  <c r="H156" i="1"/>
  <c r="H155" i="1"/>
  <c r="H154" i="1"/>
  <c r="I154" i="1" s="1"/>
  <c r="H153" i="1"/>
  <c r="I153" i="1" s="1"/>
  <c r="H152" i="1"/>
  <c r="I152" i="1" s="1"/>
  <c r="H151" i="1"/>
  <c r="I151" i="1" s="1"/>
  <c r="H150" i="1"/>
  <c r="H149" i="1"/>
  <c r="H148" i="1"/>
  <c r="I148" i="1" s="1"/>
  <c r="H147" i="1"/>
  <c r="I147" i="1" s="1"/>
  <c r="H146" i="1"/>
  <c r="I146" i="1" s="1"/>
  <c r="H145" i="1"/>
  <c r="H144" i="1"/>
  <c r="H143" i="1"/>
  <c r="H142" i="1"/>
  <c r="I142" i="1" s="1"/>
  <c r="H141" i="1"/>
  <c r="I141" i="1" s="1"/>
  <c r="H140" i="1"/>
  <c r="I140" i="1" s="1"/>
  <c r="H139" i="1"/>
  <c r="I139" i="1" s="1"/>
  <c r="H138" i="1"/>
  <c r="H137" i="1"/>
  <c r="H136" i="1"/>
  <c r="I136" i="1" s="1"/>
  <c r="H135" i="1"/>
  <c r="I135" i="1" s="1"/>
  <c r="H134" i="1"/>
  <c r="I134" i="1" s="1"/>
  <c r="H133" i="1"/>
  <c r="H132" i="1"/>
  <c r="H131" i="1"/>
  <c r="H130" i="1"/>
  <c r="I130" i="1" s="1"/>
  <c r="H129" i="1"/>
  <c r="I129" i="1" s="1"/>
  <c r="H128" i="1"/>
  <c r="I128" i="1" s="1"/>
  <c r="H127" i="1"/>
  <c r="I127" i="1" s="1"/>
  <c r="H126" i="1"/>
  <c r="H125" i="1"/>
  <c r="I125" i="1" s="1"/>
  <c r="H124" i="1"/>
  <c r="I124" i="1" s="1"/>
  <c r="H123" i="1"/>
  <c r="I123" i="1" s="1"/>
  <c r="H122" i="1"/>
  <c r="I122" i="1" s="1"/>
  <c r="H121" i="1"/>
  <c r="H120" i="1"/>
  <c r="H119" i="1"/>
  <c r="H118" i="1"/>
  <c r="I118" i="1" s="1"/>
  <c r="H117" i="1"/>
  <c r="I117" i="1" s="1"/>
  <c r="H116" i="1"/>
  <c r="I116" i="1" s="1"/>
  <c r="H115" i="1"/>
  <c r="I115" i="1" s="1"/>
  <c r="H114" i="1"/>
  <c r="I114" i="1" s="1"/>
  <c r="H113" i="1"/>
  <c r="I113" i="1" s="1"/>
  <c r="H112" i="1"/>
  <c r="I112" i="1" s="1"/>
  <c r="H111" i="1"/>
  <c r="I111" i="1" s="1"/>
  <c r="H110" i="1"/>
  <c r="I110" i="1" s="1"/>
  <c r="H109" i="1"/>
  <c r="H108" i="1"/>
  <c r="H107" i="1"/>
  <c r="H106" i="1"/>
  <c r="I106" i="1" s="1"/>
  <c r="H105" i="1"/>
  <c r="I105" i="1" s="1"/>
  <c r="H104" i="1"/>
  <c r="I104" i="1" s="1"/>
  <c r="H103" i="1"/>
  <c r="I103" i="1" s="1"/>
  <c r="H102" i="1"/>
  <c r="I102" i="1" s="1"/>
  <c r="H101" i="1"/>
  <c r="I101" i="1" s="1"/>
  <c r="H100" i="1"/>
  <c r="I100" i="1" s="1"/>
  <c r="H99" i="1"/>
  <c r="I99" i="1" s="1"/>
  <c r="H98" i="1"/>
  <c r="I98" i="1" s="1"/>
  <c r="H97" i="1"/>
  <c r="H96" i="1"/>
  <c r="H95" i="1"/>
  <c r="H94" i="1"/>
  <c r="I94" i="1" s="1"/>
  <c r="H93" i="1"/>
  <c r="I93" i="1" s="1"/>
  <c r="H92" i="1"/>
  <c r="I92" i="1" s="1"/>
  <c r="H91" i="1"/>
  <c r="I91" i="1" s="1"/>
  <c r="H90" i="1"/>
  <c r="I90" i="1" s="1"/>
  <c r="H89" i="1"/>
  <c r="I89" i="1" s="1"/>
  <c r="H88" i="1"/>
  <c r="I88" i="1" s="1"/>
  <c r="H87" i="1"/>
  <c r="I87" i="1" s="1"/>
  <c r="H86" i="1"/>
  <c r="I86" i="1" s="1"/>
  <c r="H85" i="1"/>
  <c r="H84" i="1"/>
  <c r="H83" i="1"/>
  <c r="H82" i="1"/>
  <c r="I82" i="1" s="1"/>
  <c r="H81" i="1"/>
  <c r="I81" i="1" s="1"/>
  <c r="H80" i="1"/>
  <c r="I80" i="1" s="1"/>
  <c r="H79" i="1"/>
  <c r="I79" i="1" s="1"/>
  <c r="H78" i="1"/>
  <c r="I78" i="1" s="1"/>
  <c r="H77" i="1"/>
  <c r="I77" i="1" s="1"/>
  <c r="H76" i="1"/>
  <c r="I76" i="1" s="1"/>
  <c r="H75" i="1"/>
  <c r="I75" i="1" s="1"/>
  <c r="H74" i="1"/>
  <c r="I74" i="1" s="1"/>
  <c r="H73" i="1"/>
  <c r="H72" i="1"/>
  <c r="H71" i="1"/>
  <c r="H70" i="1"/>
  <c r="I70" i="1" s="1"/>
  <c r="H69" i="1"/>
  <c r="I69" i="1" s="1"/>
  <c r="H68" i="1"/>
  <c r="I68" i="1" s="1"/>
  <c r="H67" i="1"/>
  <c r="I67" i="1" s="1"/>
  <c r="H66" i="1"/>
  <c r="I66" i="1" s="1"/>
  <c r="H65" i="1"/>
  <c r="I65" i="1" s="1"/>
  <c r="H64" i="1"/>
  <c r="I64" i="1" s="1"/>
  <c r="H63" i="1"/>
  <c r="I63" i="1" s="1"/>
  <c r="H62" i="1"/>
  <c r="I62" i="1" s="1"/>
  <c r="H61" i="1"/>
  <c r="H60" i="1"/>
  <c r="H59" i="1"/>
  <c r="H58" i="1"/>
  <c r="I58" i="1" s="1"/>
  <c r="H57" i="1"/>
  <c r="I57" i="1" s="1"/>
  <c r="H56" i="1"/>
  <c r="I56" i="1" s="1"/>
  <c r="H55" i="1"/>
  <c r="I55" i="1" s="1"/>
  <c r="H54" i="1"/>
  <c r="I54" i="1" s="1"/>
  <c r="H53" i="1"/>
  <c r="I53" i="1" s="1"/>
  <c r="H52" i="1"/>
  <c r="I52" i="1" s="1"/>
  <c r="H51" i="1"/>
  <c r="I51" i="1" s="1"/>
  <c r="H50" i="1"/>
  <c r="I50" i="1" s="1"/>
  <c r="H49" i="1"/>
  <c r="H48" i="1"/>
  <c r="H47" i="1"/>
  <c r="H46" i="1"/>
  <c r="I46" i="1" s="1"/>
  <c r="H45" i="1"/>
  <c r="I45" i="1" s="1"/>
  <c r="H44" i="1"/>
  <c r="I44" i="1" s="1"/>
  <c r="H43" i="1"/>
  <c r="I43" i="1" s="1"/>
  <c r="H42" i="1"/>
  <c r="I42" i="1" s="1"/>
  <c r="H41" i="1"/>
  <c r="I41" i="1" s="1"/>
  <c r="H40" i="1"/>
  <c r="I40" i="1" s="1"/>
  <c r="H39" i="1"/>
  <c r="I39" i="1" s="1"/>
  <c r="H38" i="1"/>
  <c r="I38" i="1" s="1"/>
  <c r="H37" i="1"/>
  <c r="H36" i="1"/>
  <c r="H35" i="1"/>
  <c r="H34" i="1"/>
  <c r="I34" i="1" s="1"/>
  <c r="H33" i="1"/>
  <c r="I33" i="1" s="1"/>
  <c r="H32" i="1"/>
  <c r="I32" i="1" s="1"/>
  <c r="H31" i="1"/>
  <c r="I31" i="1" s="1"/>
  <c r="H30" i="1"/>
  <c r="I30" i="1" s="1"/>
  <c r="H29" i="1"/>
  <c r="I29" i="1" s="1"/>
  <c r="H28" i="1"/>
  <c r="I28" i="1" s="1"/>
  <c r="H27" i="1"/>
  <c r="I27" i="1" s="1"/>
  <c r="H26" i="1"/>
  <c r="I26" i="1" s="1"/>
  <c r="H25" i="1"/>
  <c r="H24" i="1"/>
  <c r="H23" i="1"/>
  <c r="H22" i="1"/>
  <c r="I22" i="1" s="1"/>
  <c r="H21" i="1"/>
  <c r="I21" i="1" s="1"/>
  <c r="H20" i="1"/>
  <c r="I20" i="1" s="1"/>
  <c r="H19" i="1"/>
  <c r="I19" i="1" s="1"/>
  <c r="H18" i="1"/>
  <c r="I18" i="1" s="1"/>
  <c r="H17" i="1"/>
  <c r="I17" i="1" s="1"/>
  <c r="H16" i="1"/>
  <c r="I16" i="1" s="1"/>
  <c r="H15" i="1"/>
  <c r="I15" i="1" s="1"/>
  <c r="H14" i="1"/>
  <c r="I14" i="1" s="1"/>
  <c r="H13" i="1"/>
  <c r="H12" i="1"/>
  <c r="H11" i="1"/>
  <c r="H10" i="1"/>
  <c r="I10" i="1" s="1"/>
  <c r="H9" i="1"/>
  <c r="I9" i="1" s="1"/>
  <c r="H8" i="1"/>
  <c r="I8" i="1" s="1"/>
  <c r="H7" i="1"/>
  <c r="I7" i="1" s="1"/>
  <c r="H6" i="1"/>
  <c r="I6" i="1" s="1"/>
  <c r="H5" i="1"/>
  <c r="H4" i="1"/>
  <c r="I4" i="1" s="1"/>
  <c r="H3" i="1"/>
  <c r="H2" i="1"/>
  <c r="I2" i="1" s="1"/>
  <c r="M12" i="1" s="1"/>
</calcChain>
</file>

<file path=xl/sharedStrings.xml><?xml version="1.0" encoding="utf-8"?>
<sst xmlns="http://schemas.openxmlformats.org/spreadsheetml/2006/main" count="965" uniqueCount="47">
  <si>
    <t>Date</t>
  </si>
  <si>
    <t>Sales Person</t>
  </si>
  <si>
    <t>Region</t>
  </si>
  <si>
    <t>Product</t>
  </si>
  <si>
    <t>Units Sold</t>
  </si>
  <si>
    <t>Unit Price</t>
  </si>
  <si>
    <t>Cost of Goods</t>
  </si>
  <si>
    <t>Total Sales</t>
  </si>
  <si>
    <t>Megan</t>
  </si>
  <si>
    <t>Central</t>
  </si>
  <si>
    <t>Blender</t>
  </si>
  <si>
    <t>Connor</t>
  </si>
  <si>
    <t>West</t>
  </si>
  <si>
    <t>Carolyn</t>
  </si>
  <si>
    <t>South</t>
  </si>
  <si>
    <t>Smartphone</t>
  </si>
  <si>
    <t>North</t>
  </si>
  <si>
    <t>Daniel</t>
  </si>
  <si>
    <t>Headphones</t>
  </si>
  <si>
    <t>Sophia</t>
  </si>
  <si>
    <t>Andrew</t>
  </si>
  <si>
    <t>East</t>
  </si>
  <si>
    <t>Novel</t>
  </si>
  <si>
    <t>James</t>
  </si>
  <si>
    <t>Action Figure</t>
  </si>
  <si>
    <t>Ella</t>
  </si>
  <si>
    <t>Backpack</t>
  </si>
  <si>
    <t>Nicholas</t>
  </si>
  <si>
    <t>Sneakers</t>
  </si>
  <si>
    <t>Cameron</t>
  </si>
  <si>
    <t>Coffee Maker</t>
  </si>
  <si>
    <t>Moisturizer</t>
  </si>
  <si>
    <t>Anna</t>
  </si>
  <si>
    <t>Tent</t>
  </si>
  <si>
    <t>Grace</t>
  </si>
  <si>
    <t>Olivia</t>
  </si>
  <si>
    <t>Amelia</t>
  </si>
  <si>
    <t>Virginia</t>
  </si>
  <si>
    <t>Profit</t>
  </si>
  <si>
    <t xml:space="preserve">Grand total </t>
  </si>
  <si>
    <t>unit total</t>
  </si>
  <si>
    <t>total profit</t>
  </si>
  <si>
    <t>average sales</t>
  </si>
  <si>
    <t>Row Labels</t>
  </si>
  <si>
    <t>Grand Total</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</si>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</sst>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quot;Rs. &quot;#,##0"/>
    <numFmt numFmtId="166" formatCode="&quot;Rs.&quot;\ #\.00,\ &quot;L&quot;"/>
  </numFmts>
  <fonts count="3">
    <font>
      <sz val="11"/>
      <name val="Carlito"/>
    </font>
    <font>
      <sz val="10"/>
      <color rgb="FF1F2937"/>
      <name val="Arial"/>
    </font>
    <font>
      <b/>
      <sz val="10"/>
      <color rgb="FFFFFFFF"/>
      <name val="Arial"/>
    </font>
  </fonts>
  <fills count="3">
    <fill>
      <patternFill patternType="none"/>
    </fill>
    <fill>
      <patternFill patternType="gray125"/>
    </fill>
    <fill>
      <patternFill patternType="solid">
        <fgColor rgb="FF17365D"/>
      </patternFill>
    </fill>
  </fills>
  <borders count="7">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s>
  <cellStyleXfs count="1">
    <xf numFmtId="0" fontId="0" fillId="0" borderId="0"/>
  </cellStyleXfs>
  <cellXfs count="24">
    <xf numFmtId="0" fontId="0" fillId="0" borderId="0" xfId="0"/>
    <xf numFmtId="0" fontId="2" fillId="2" borderId="1" xfId="0" applyNumberFormat="1" applyFont="1" applyFill="1" applyBorder="1" applyAlignment="1">
      <alignment horizontal="center" vertical="center"/>
    </xf>
    <xf numFmtId="0" fontId="2" fillId="2" borderId="2" xfId="0" applyNumberFormat="1" applyFont="1" applyFill="1" applyBorder="1" applyAlignment="1">
      <alignment horizontal="center" vertical="center"/>
    </xf>
    <xf numFmtId="0" fontId="2" fillId="2" borderId="3" xfId="0" applyNumberFormat="1" applyFont="1" applyFill="1" applyBorder="1" applyAlignment="1">
      <alignment horizontal="center" vertical="center"/>
    </xf>
    <xf numFmtId="165" fontId="1" fillId="0" borderId="0" xfId="0" applyNumberFormat="1" applyFont="1" applyFill="1" applyBorder="1" applyAlignment="1">
      <alignment horizontal="right" vertical="center"/>
    </xf>
    <xf numFmtId="164" fontId="1" fillId="0" borderId="4" xfId="0" applyNumberFormat="1" applyFont="1" applyFill="1" applyBorder="1" applyAlignment="1">
      <alignment horizontal="left" vertical="center"/>
    </xf>
    <xf numFmtId="0" fontId="1" fillId="0" borderId="4" xfId="0" applyNumberFormat="1" applyFont="1" applyFill="1" applyBorder="1" applyAlignment="1">
      <alignment horizontal="left" vertical="center"/>
    </xf>
    <xf numFmtId="3" fontId="1" fillId="0" borderId="4" xfId="0" applyNumberFormat="1" applyFont="1" applyFill="1" applyBorder="1" applyAlignment="1">
      <alignment horizontal="right" vertical="center"/>
    </xf>
    <xf numFmtId="165" fontId="1" fillId="0" borderId="4" xfId="0" applyNumberFormat="1" applyFont="1" applyFill="1" applyBorder="1" applyAlignment="1">
      <alignment horizontal="right" vertical="center"/>
    </xf>
    <xf numFmtId="164" fontId="1" fillId="0" borderId="5" xfId="0" applyNumberFormat="1" applyFont="1" applyFill="1" applyBorder="1" applyAlignment="1">
      <alignment horizontal="left" vertical="center"/>
    </xf>
    <xf numFmtId="0" fontId="1" fillId="0" borderId="5" xfId="0" applyNumberFormat="1" applyFont="1" applyFill="1" applyBorder="1" applyAlignment="1">
      <alignment horizontal="left" vertical="center"/>
    </xf>
    <xf numFmtId="3" fontId="1" fillId="0" borderId="5" xfId="0" applyNumberFormat="1" applyFont="1" applyFill="1" applyBorder="1" applyAlignment="1">
      <alignment horizontal="right" vertical="center"/>
    </xf>
    <xf numFmtId="165" fontId="1" fillId="0" borderId="5" xfId="0" applyNumberFormat="1" applyFont="1" applyFill="1" applyBorder="1" applyAlignment="1">
      <alignment horizontal="right" vertical="center"/>
    </xf>
    <xf numFmtId="164" fontId="1" fillId="0" borderId="6" xfId="0" applyNumberFormat="1" applyFont="1" applyFill="1" applyBorder="1" applyAlignment="1">
      <alignment horizontal="left" vertical="center"/>
    </xf>
    <xf numFmtId="0" fontId="1" fillId="0" borderId="6" xfId="0" applyNumberFormat="1" applyFont="1" applyFill="1" applyBorder="1" applyAlignment="1">
      <alignment horizontal="left" vertical="center"/>
    </xf>
    <xf numFmtId="3" fontId="1" fillId="0" borderId="6" xfId="0" applyNumberFormat="1" applyFont="1" applyFill="1" applyBorder="1" applyAlignment="1">
      <alignment horizontal="right" vertical="center"/>
    </xf>
    <xf numFmtId="165" fontId="1" fillId="0" borderId="6" xfId="0" applyNumberFormat="1" applyFont="1" applyFill="1" applyBorder="1" applyAlignment="1">
      <alignment horizontal="right" vertical="center"/>
    </xf>
    <xf numFmtId="0" fontId="2" fillId="2" borderId="0" xfId="0" applyNumberFormat="1" applyFont="1" applyFill="1" applyBorder="1" applyAlignment="1">
      <alignment horizontal="center" vertical="center"/>
    </xf>
    <xf numFmtId="165" fontId="0" fillId="0" borderId="0" xfId="0" applyNumberFormat="1"/>
    <xf numFmtId="3"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cellXfs>
  <cellStyles count="1">
    <cellStyle name="Normal" xfId="0" builtinId="0"/>
  </cellStyles>
  <dxfs count="7">
    <dxf>
      <fill>
        <patternFill patternType="solid">
          <bgColor rgb="FFF3F6FA"/>
        </patternFill>
      </fill>
    </dxf>
    <dxf>
      <font>
        <b val="0"/>
        <i val="0"/>
        <strike val="0"/>
        <condense val="0"/>
        <extend val="0"/>
        <outline val="0"/>
        <shadow val="0"/>
        <u val="none"/>
        <vertAlign val="baseline"/>
        <sz val="10"/>
        <color rgb="FF1F2937"/>
        <name val="Arial"/>
        <scheme val="none"/>
      </font>
      <numFmt numFmtId="165" formatCode="&quot;Rs. &quot;#,##0"/>
      <fill>
        <patternFill patternType="none">
          <fgColor indexed="64"/>
          <bgColor indexed="65"/>
        </patternFill>
      </fill>
      <alignment horizontal="right" vertical="center" textRotation="0" wrapText="0" indent="0" justifyLastLine="0" shrinkToFit="0" readingOrder="0"/>
    </dxf>
    <dxf>
      <fill>
        <patternFill patternType="solid">
          <bgColor rgb="FFF3F6FA"/>
        </patternFill>
      </fill>
    </dxf>
    <dxf>
      <font>
        <b/>
        <color theme="1"/>
      </font>
      <border>
        <bottom style="thin">
          <color theme="4"/>
        </bottom>
        <vertical/>
        <horizontal/>
      </border>
    </dxf>
    <dxf>
      <font>
        <b/>
        <i val="0"/>
        <sz val="16"/>
        <color theme="1"/>
        <name val="Calibri"/>
        <family val="2"/>
        <scheme val="minor"/>
      </font>
      <border diagonalUp="0" diagonalDown="0">
        <left/>
        <right/>
        <top/>
        <bottom/>
        <vertical/>
        <horizontal/>
      </border>
    </dxf>
    <dxf>
      <font>
        <b/>
        <color theme="1"/>
      </font>
      <border>
        <bottom style="thin">
          <color theme="9"/>
        </bottom>
        <vertical/>
        <horizontal/>
      </border>
    </dxf>
    <dxf>
      <font>
        <b/>
        <i val="0"/>
        <sz val="10"/>
        <color theme="0"/>
        <name val="Calibri"/>
        <family val="2"/>
        <scheme val="minor"/>
      </font>
      <fill>
        <patternFill>
          <fgColor theme="4" tint="-0.24994659260841701"/>
          <bgColor theme="0"/>
        </patternFill>
      </fill>
      <border diagonalUp="0" diagonalDown="0">
        <left/>
        <right/>
        <top/>
        <bottom/>
        <vertical/>
        <horizontal/>
      </border>
    </dxf>
  </dxfs>
  <tableStyles count="2" defaultTableStyle="TableStyleMedium2" defaultPivotStyle="PivotStyleLight16">
    <tableStyle name="000221" pivot="0" table="0" count="10" xr9:uid="{A9025D04-0F1F-423F-9724-9CADF6E7338B}">
      <tableStyleElement type="wholeTable" dxfId="6"/>
      <tableStyleElement type="headerRow" dxfId="5"/>
    </tableStyle>
    <tableStyle name="121212" pivot="0" table="0" count="10" xr9:uid="{73A527E9-990B-4B2C-B4EE-98403A12630F}">
      <tableStyleElement type="wholeTable" dxfId="4"/>
      <tableStyleElement type="headerRow" dxfId="3"/>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00022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12121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2024 - Excel.xlsx]Pivot Tables!PivotTable1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0000000000000004"/>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7777777777777787"/>
              <c:y val="3.70799536500579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8611111111111112"/>
              <c:y val="-0.120509849362688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0833333333333334"/>
              <c:y val="6.4889918887601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9166666666666668"/>
              <c:y val="0.125144843568945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8611111111111112"/>
              <c:y val="-0.120509849362688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7777777777777787"/>
              <c:y val="3.70799536500579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0833333333333334"/>
              <c:y val="6.4889918887601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9166666666666668"/>
              <c:y val="0.125144843568945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0000000000000004"/>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8611111111111112"/>
              <c:y val="-0.120509849362688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7777777777777787"/>
              <c:y val="3.70799536500579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20833333333333334"/>
              <c:y val="6.488991888760146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9166666666666668"/>
              <c:y val="0.125144843568945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20000000000000004"/>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6A-4E13-AF93-0960FF9DE4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6A-4E13-AF93-0960FF9DE4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6A-4E13-AF93-0960FF9DE4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6A-4E13-AF93-0960FF9DE40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6A-4E13-AF93-0960FF9DE406}"/>
              </c:ext>
            </c:extLst>
          </c:dPt>
          <c:dLbls>
            <c:dLbl>
              <c:idx val="0"/>
              <c:layout>
                <c:manualLayout>
                  <c:x val="0.18611111111111112"/>
                  <c:y val="-0.120509849362688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6A-4E13-AF93-0960FF9DE406}"/>
                </c:ext>
              </c:extLst>
            </c:dLbl>
            <c:dLbl>
              <c:idx val="1"/>
              <c:layout>
                <c:manualLayout>
                  <c:x val="0.17777777777777787"/>
                  <c:y val="3.70799536500579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6A-4E13-AF93-0960FF9DE406}"/>
                </c:ext>
              </c:extLst>
            </c:dLbl>
            <c:dLbl>
              <c:idx val="2"/>
              <c:layout>
                <c:manualLayout>
                  <c:x val="0.20833333333333334"/>
                  <c:y val="6.4889918887601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E6A-4E13-AF93-0960FF9DE406}"/>
                </c:ext>
              </c:extLst>
            </c:dLbl>
            <c:dLbl>
              <c:idx val="3"/>
              <c:layout>
                <c:manualLayout>
                  <c:x val="-0.19166666666666668"/>
                  <c:y val="0.125144843568945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E6A-4E13-AF93-0960FF9DE406}"/>
                </c:ext>
              </c:extLst>
            </c:dLbl>
            <c:dLbl>
              <c:idx val="4"/>
              <c:layout>
                <c:manualLayout>
                  <c:x val="-0.20000000000000004"/>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E6A-4E13-AF93-0960FF9DE40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accent1">
                      <a:lumMod val="60000"/>
                      <a:lumOff val="40000"/>
                    </a:schemeClr>
                  </a:solidFill>
                  <a:round/>
                </a:ln>
                <a:effectLst/>
              </c:spPr>
            </c:leaderLines>
            <c:extLst>
              <c:ext xmlns:c15="http://schemas.microsoft.com/office/drawing/2012/chart" uri="{CE6537A1-D6FC-4f65-9D91-7224C49458BB}"/>
            </c:extLst>
          </c:dLbls>
          <c:cat>
            <c:strRef>
              <c:f>'Pivot Tables'!$A$4:$A$9</c:f>
              <c:strCache>
                <c:ptCount val="5"/>
                <c:pt idx="0">
                  <c:v>Central</c:v>
                </c:pt>
                <c:pt idx="1">
                  <c:v>East</c:v>
                </c:pt>
                <c:pt idx="2">
                  <c:v>North</c:v>
                </c:pt>
                <c:pt idx="3">
                  <c:v>South</c:v>
                </c:pt>
                <c:pt idx="4">
                  <c:v>West</c:v>
                </c:pt>
              </c:strCache>
            </c:strRef>
          </c:cat>
          <c:val>
            <c:numRef>
              <c:f>'Pivot Tables'!$B$4:$B$9</c:f>
              <c:numCache>
                <c:formatCode>"Rs."\ #\.00,\ "L"</c:formatCode>
                <c:ptCount val="5"/>
                <c:pt idx="0">
                  <c:v>16548550</c:v>
                </c:pt>
                <c:pt idx="1">
                  <c:v>16101150</c:v>
                </c:pt>
                <c:pt idx="2">
                  <c:v>15283800</c:v>
                </c:pt>
                <c:pt idx="3">
                  <c:v>19844250</c:v>
                </c:pt>
                <c:pt idx="4">
                  <c:v>17948050</c:v>
                </c:pt>
              </c:numCache>
            </c:numRef>
          </c:val>
          <c:extLst>
            <c:ext xmlns:c16="http://schemas.microsoft.com/office/drawing/2014/chart" uri="{C3380CC4-5D6E-409C-BE32-E72D297353CC}">
              <c16:uniqueId val="{0000000A-6E6A-4E13-AF93-0960FF9DE40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2024 - Excel.xlsx]Pivot Tables!PivotTable2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681102362204724E-2"/>
          <c:y val="3.7079953650057937E-2"/>
          <c:w val="0.92156299212598425"/>
          <c:h val="0.7469541336301676"/>
        </c:manualLayout>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Tables'!$D$4:$D$19</c:f>
              <c:strCache>
                <c:ptCount val="15"/>
                <c:pt idx="0">
                  <c:v>Amelia</c:v>
                </c:pt>
                <c:pt idx="1">
                  <c:v>Andrew</c:v>
                </c:pt>
                <c:pt idx="2">
                  <c:v>Anna</c:v>
                </c:pt>
                <c:pt idx="3">
                  <c:v>Cameron</c:v>
                </c:pt>
                <c:pt idx="4">
                  <c:v>Carolyn</c:v>
                </c:pt>
                <c:pt idx="5">
                  <c:v>Connor</c:v>
                </c:pt>
                <c:pt idx="6">
                  <c:v>Daniel</c:v>
                </c:pt>
                <c:pt idx="7">
                  <c:v>Ella</c:v>
                </c:pt>
                <c:pt idx="8">
                  <c:v>Grace</c:v>
                </c:pt>
                <c:pt idx="9">
                  <c:v>James</c:v>
                </c:pt>
                <c:pt idx="10">
                  <c:v>Megan</c:v>
                </c:pt>
                <c:pt idx="11">
                  <c:v>Nicholas</c:v>
                </c:pt>
                <c:pt idx="12">
                  <c:v>Olivia</c:v>
                </c:pt>
                <c:pt idx="13">
                  <c:v>Sophia</c:v>
                </c:pt>
                <c:pt idx="14">
                  <c:v>Virginia</c:v>
                </c:pt>
              </c:strCache>
            </c:strRef>
          </c:cat>
          <c:val>
            <c:numRef>
              <c:f>'Pivot Tables'!$E$4:$E$19</c:f>
              <c:numCache>
                <c:formatCode>"Rs."\ #\.00,\ "L"</c:formatCode>
                <c:ptCount val="15"/>
                <c:pt idx="0">
                  <c:v>3655400</c:v>
                </c:pt>
                <c:pt idx="1">
                  <c:v>5416650</c:v>
                </c:pt>
                <c:pt idx="2">
                  <c:v>4494250</c:v>
                </c:pt>
                <c:pt idx="3">
                  <c:v>5336400</c:v>
                </c:pt>
                <c:pt idx="4">
                  <c:v>7310950</c:v>
                </c:pt>
                <c:pt idx="5">
                  <c:v>7599000</c:v>
                </c:pt>
                <c:pt idx="6">
                  <c:v>8080700</c:v>
                </c:pt>
                <c:pt idx="7">
                  <c:v>6468600</c:v>
                </c:pt>
                <c:pt idx="8">
                  <c:v>4907650</c:v>
                </c:pt>
                <c:pt idx="9">
                  <c:v>4681300</c:v>
                </c:pt>
                <c:pt idx="10">
                  <c:v>5231500</c:v>
                </c:pt>
                <c:pt idx="11">
                  <c:v>5937050</c:v>
                </c:pt>
                <c:pt idx="12">
                  <c:v>6500250</c:v>
                </c:pt>
                <c:pt idx="13">
                  <c:v>5883600</c:v>
                </c:pt>
                <c:pt idx="14">
                  <c:v>4222500</c:v>
                </c:pt>
              </c:numCache>
            </c:numRef>
          </c:val>
          <c:extLst>
            <c:ext xmlns:c16="http://schemas.microsoft.com/office/drawing/2014/chart" uri="{C3380CC4-5D6E-409C-BE32-E72D297353CC}">
              <c16:uniqueId val="{00000000-1F5B-4937-810C-68E5E7A9560B}"/>
            </c:ext>
          </c:extLst>
        </c:ser>
        <c:dLbls>
          <c:dLblPos val="outEnd"/>
          <c:showLegendKey val="0"/>
          <c:showVal val="1"/>
          <c:showCatName val="0"/>
          <c:showSerName val="0"/>
          <c:showPercent val="0"/>
          <c:showBubbleSize val="0"/>
        </c:dLbls>
        <c:gapWidth val="200"/>
        <c:axId val="1678627807"/>
        <c:axId val="1678630719"/>
      </c:barChart>
      <c:catAx>
        <c:axId val="1678627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678630719"/>
        <c:crosses val="autoZero"/>
        <c:auto val="1"/>
        <c:lblAlgn val="ctr"/>
        <c:lblOffset val="100"/>
        <c:noMultiLvlLbl val="0"/>
      </c:catAx>
      <c:valAx>
        <c:axId val="1678630719"/>
        <c:scaling>
          <c:orientation val="minMax"/>
        </c:scaling>
        <c:delete val="1"/>
        <c:axPos val="l"/>
        <c:numFmt formatCode="&quot;Rs.&quot;\ #\.00,\ &quot;L&quot;" sourceLinked="1"/>
        <c:majorTickMark val="out"/>
        <c:minorTickMark val="none"/>
        <c:tickLblPos val="nextTo"/>
        <c:crossAx val="1678627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2024 - Excel.xlsx]Pivot Tables!PivotTable3</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Action Figure</c:v>
                </c:pt>
                <c:pt idx="1">
                  <c:v>Backpack</c:v>
                </c:pt>
                <c:pt idx="2">
                  <c:v>Blender</c:v>
                </c:pt>
                <c:pt idx="3">
                  <c:v>Coffee Maker</c:v>
                </c:pt>
                <c:pt idx="4">
                  <c:v>Headphones</c:v>
                </c:pt>
                <c:pt idx="5">
                  <c:v>Moisturizer</c:v>
                </c:pt>
                <c:pt idx="6">
                  <c:v>Novel</c:v>
                </c:pt>
                <c:pt idx="7">
                  <c:v>Smartphone</c:v>
                </c:pt>
                <c:pt idx="8">
                  <c:v>Sneakers</c:v>
                </c:pt>
                <c:pt idx="9">
                  <c:v>Tent</c:v>
                </c:pt>
              </c:strCache>
            </c:strRef>
          </c:cat>
          <c:val>
            <c:numRef>
              <c:f>'Pivot Tables'!$H$4:$H$14</c:f>
              <c:numCache>
                <c:formatCode>"Rs."\ #\.00,\ "L"</c:formatCode>
                <c:ptCount val="10"/>
                <c:pt idx="0">
                  <c:v>3648300</c:v>
                </c:pt>
                <c:pt idx="1">
                  <c:v>7245200</c:v>
                </c:pt>
                <c:pt idx="2">
                  <c:v>8723800</c:v>
                </c:pt>
                <c:pt idx="3">
                  <c:v>10838800</c:v>
                </c:pt>
                <c:pt idx="4">
                  <c:v>7341900</c:v>
                </c:pt>
                <c:pt idx="5">
                  <c:v>1180200</c:v>
                </c:pt>
                <c:pt idx="6">
                  <c:v>1877500</c:v>
                </c:pt>
                <c:pt idx="7">
                  <c:v>21435000</c:v>
                </c:pt>
                <c:pt idx="8">
                  <c:v>10402200</c:v>
                </c:pt>
                <c:pt idx="9">
                  <c:v>13032900</c:v>
                </c:pt>
              </c:numCache>
            </c:numRef>
          </c:val>
          <c:extLst>
            <c:ext xmlns:c16="http://schemas.microsoft.com/office/drawing/2014/chart" uri="{C3380CC4-5D6E-409C-BE32-E72D297353CC}">
              <c16:uniqueId val="{00000000-92A1-43E0-BB36-2C9AA2D1F7EA}"/>
            </c:ext>
          </c:extLst>
        </c:ser>
        <c:dLbls>
          <c:dLblPos val="outEnd"/>
          <c:showLegendKey val="0"/>
          <c:showVal val="1"/>
          <c:showCatName val="0"/>
          <c:showSerName val="0"/>
          <c:showPercent val="0"/>
          <c:showBubbleSize val="0"/>
        </c:dLbls>
        <c:gapWidth val="200"/>
        <c:axId val="1688887743"/>
        <c:axId val="1688888159"/>
      </c:barChart>
      <c:catAx>
        <c:axId val="16888877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688888159"/>
        <c:crosses val="autoZero"/>
        <c:auto val="1"/>
        <c:lblAlgn val="ctr"/>
        <c:lblOffset val="100"/>
        <c:noMultiLvlLbl val="0"/>
      </c:catAx>
      <c:valAx>
        <c:axId val="1688888159"/>
        <c:scaling>
          <c:orientation val="minMax"/>
        </c:scaling>
        <c:delete val="1"/>
        <c:axPos val="b"/>
        <c:numFmt formatCode="&quot;Rs.&quot;\ #\.00,\ &quot;L&quot;" sourceLinked="1"/>
        <c:majorTickMark val="out"/>
        <c:minorTickMark val="none"/>
        <c:tickLblPos val="nextTo"/>
        <c:crossAx val="1688887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2024 - Excel.xlsx]Pivot Tables!PivotTable4</c:name>
    <c:fmtId val="43"/>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lt1"/>
            </a:solidFill>
            <a:round/>
          </a:ln>
          <a:effectLst>
            <a:outerShdw dist="25400" dir="2700000" algn="tl" rotWithShape="0">
              <a:schemeClr val="accent1"/>
            </a:outerShdw>
          </a:effectLst>
        </c:spPr>
        <c:marker>
          <c:symbol val="square"/>
          <c:size val="8"/>
          <c:spPr>
            <a:noFill/>
            <a:ln w="22225">
              <a:solidFill>
                <a:schemeClr val="accent1">
                  <a:lumMod val="75000"/>
                </a:schemeClr>
              </a:solidFill>
              <a:round/>
            </a:ln>
            <a:effectLst/>
          </c:spPr>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Tables'!$K$3</c:f>
              <c:strCache>
                <c:ptCount val="1"/>
                <c:pt idx="0">
                  <c:v>Total</c:v>
                </c:pt>
              </c:strCache>
            </c:strRef>
          </c:tx>
          <c:spPr>
            <a:ln w="38100" cap="rnd">
              <a:solidFill>
                <a:schemeClr val="lt1"/>
              </a:solidFill>
              <a:round/>
            </a:ln>
            <a:effectLst>
              <a:outerShdw dist="25400" dir="2700000" algn="tl" rotWithShape="0">
                <a:schemeClr val="accent1"/>
              </a:outerShdw>
            </a:effectLst>
          </c:spPr>
          <c:marker>
            <c:symbol val="square"/>
            <c:size val="8"/>
            <c:spPr>
              <a:noFill/>
              <a:ln w="22225">
                <a:solidFill>
                  <a:schemeClr val="accent1">
                    <a:lumMod val="75000"/>
                  </a:schemeClr>
                </a:solidFill>
                <a:round/>
              </a:ln>
              <a:effectLst/>
            </c:spPr>
          </c:marker>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Tables'!$J$4:$J$14</c:f>
              <c:strCache>
                <c:ptCount val="10"/>
                <c:pt idx="0">
                  <c:v>Action Figure</c:v>
                </c:pt>
                <c:pt idx="1">
                  <c:v>Backpack</c:v>
                </c:pt>
                <c:pt idx="2">
                  <c:v>Blender</c:v>
                </c:pt>
                <c:pt idx="3">
                  <c:v>Coffee Maker</c:v>
                </c:pt>
                <c:pt idx="4">
                  <c:v>Headphones</c:v>
                </c:pt>
                <c:pt idx="5">
                  <c:v>Moisturizer</c:v>
                </c:pt>
                <c:pt idx="6">
                  <c:v>Novel</c:v>
                </c:pt>
                <c:pt idx="7">
                  <c:v>Smartphone</c:v>
                </c:pt>
                <c:pt idx="8">
                  <c:v>Sneakers</c:v>
                </c:pt>
                <c:pt idx="9">
                  <c:v>Tent</c:v>
                </c:pt>
              </c:strCache>
            </c:strRef>
          </c:cat>
          <c:val>
            <c:numRef>
              <c:f>'Pivot Tables'!$K$4:$K$14</c:f>
              <c:numCache>
                <c:formatCode>General</c:formatCode>
                <c:ptCount val="10"/>
                <c:pt idx="0">
                  <c:v>3053</c:v>
                </c:pt>
                <c:pt idx="1">
                  <c:v>2940</c:v>
                </c:pt>
                <c:pt idx="2">
                  <c:v>2457</c:v>
                </c:pt>
                <c:pt idx="3">
                  <c:v>2402</c:v>
                </c:pt>
                <c:pt idx="4">
                  <c:v>2439</c:v>
                </c:pt>
                <c:pt idx="5">
                  <c:v>1951</c:v>
                </c:pt>
                <c:pt idx="6">
                  <c:v>1832</c:v>
                </c:pt>
                <c:pt idx="7">
                  <c:v>2137</c:v>
                </c:pt>
                <c:pt idx="8">
                  <c:v>2539</c:v>
                </c:pt>
                <c:pt idx="9">
                  <c:v>2183</c:v>
                </c:pt>
              </c:numCache>
            </c:numRef>
          </c:val>
          <c:smooth val="0"/>
          <c:extLst>
            <c:ext xmlns:c16="http://schemas.microsoft.com/office/drawing/2014/chart" uri="{C3380CC4-5D6E-409C-BE32-E72D297353CC}">
              <c16:uniqueId val="{00000000-B058-49BD-A6F0-A1E0AD30492C}"/>
            </c:ext>
          </c:extLst>
        </c:ser>
        <c:dLbls>
          <c:dLblPos val="t"/>
          <c:showLegendKey val="0"/>
          <c:showVal val="1"/>
          <c:showCatName val="0"/>
          <c:showSerName val="0"/>
          <c:showPercent val="0"/>
          <c:showBubbleSize val="0"/>
        </c:dLbls>
        <c:dropLines>
          <c:spPr>
            <a:ln w="19050" cap="flat" cmpd="sng" algn="ctr">
              <a:solidFill>
                <a:schemeClr val="accent1">
                  <a:lumMod val="60000"/>
                  <a:lumOff val="40000"/>
                </a:schemeClr>
              </a:solidFill>
              <a:round/>
            </a:ln>
            <a:effectLst/>
          </c:spPr>
        </c:dropLines>
        <c:marker val="1"/>
        <c:smooth val="0"/>
        <c:axId val="976775983"/>
        <c:axId val="976776399"/>
      </c:lineChart>
      <c:catAx>
        <c:axId val="976775983"/>
        <c:scaling>
          <c:orientation val="minMax"/>
        </c:scaling>
        <c:delete val="0"/>
        <c:axPos val="b"/>
        <c:numFmt formatCode="General" sourceLinked="1"/>
        <c:majorTickMark val="out"/>
        <c:minorTickMark val="none"/>
        <c:tickLblPos val="nextTo"/>
        <c:spPr>
          <a:solidFill>
            <a:schemeClr val="bg1">
              <a:alpha val="97000"/>
            </a:schemeClr>
          </a:solidFill>
          <a:ln w="12700" cap="flat" cmpd="sng" algn="ctr">
            <a:solidFill>
              <a:schemeClr val="accent1">
                <a:lumMod val="75000"/>
              </a:schemeClr>
            </a:solidFill>
            <a:round/>
          </a:ln>
          <a:effectLst>
            <a:outerShdw blurRad="50800" dist="50800" dir="5400000" algn="ctr" rotWithShape="0">
              <a:schemeClr val="bg1"/>
            </a:outerShdw>
          </a:effectLst>
        </c:spPr>
        <c:txPr>
          <a:bodyPr rot="-60000000" spcFirstLastPara="1" vertOverflow="ellipsis" vert="horz" wrap="square" anchor="ctr" anchorCtr="1"/>
          <a:lstStyle/>
          <a:p>
            <a:pPr>
              <a:defRPr sz="1000" b="1" i="0" u="none" strike="noStrike" kern="1200" spc="100" baseline="0">
                <a:solidFill>
                  <a:sysClr val="windowText" lastClr="000000"/>
                </a:solidFill>
                <a:latin typeface="+mn-lt"/>
                <a:ea typeface="+mn-ea"/>
                <a:cs typeface="+mn-cs"/>
              </a:defRPr>
            </a:pPr>
            <a:endParaRPr lang="en-US"/>
          </a:p>
        </c:txPr>
        <c:crossAx val="976776399"/>
        <c:crosses val="autoZero"/>
        <c:auto val="1"/>
        <c:lblAlgn val="ctr"/>
        <c:lblOffset val="100"/>
        <c:noMultiLvlLbl val="0"/>
      </c:catAx>
      <c:valAx>
        <c:axId val="976776399"/>
        <c:scaling>
          <c:orientation val="minMax"/>
        </c:scaling>
        <c:delete val="1"/>
        <c:axPos val="l"/>
        <c:numFmt formatCode="General" sourceLinked="1"/>
        <c:majorTickMark val="none"/>
        <c:minorTickMark val="none"/>
        <c:tickLblPos val="nextTo"/>
        <c:crossAx val="976775983"/>
        <c:crosses val="autoZero"/>
        <c:crossBetween val="between"/>
      </c:valAx>
      <c:spPr>
        <a:solidFill>
          <a:sysClr val="window" lastClr="FFFFFF"/>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552450</xdr:colOff>
      <xdr:row>1</xdr:row>
      <xdr:rowOff>28575</xdr:rowOff>
    </xdr:from>
    <xdr:to>
      <xdr:col>24</xdr:col>
      <xdr:colOff>0</xdr:colOff>
      <xdr:row>4</xdr:row>
      <xdr:rowOff>123825</xdr:rowOff>
    </xdr:to>
    <xdr:sp macro="" textlink="">
      <xdr:nvSpPr>
        <xdr:cNvPr id="2" name="Rectangle: Rounded Corners 1">
          <a:extLst>
            <a:ext uri="{FF2B5EF4-FFF2-40B4-BE49-F238E27FC236}">
              <a16:creationId xmlns:a16="http://schemas.microsoft.com/office/drawing/2014/main" id="{B9782E0B-5B58-459F-BF0C-A141935B8669}"/>
            </a:ext>
          </a:extLst>
        </xdr:cNvPr>
        <xdr:cNvSpPr/>
      </xdr:nvSpPr>
      <xdr:spPr>
        <a:xfrm>
          <a:off x="552450" y="209550"/>
          <a:ext cx="15220950" cy="638175"/>
        </a:xfrm>
        <a:prstGeom prst="roundRect">
          <a:avLst>
            <a:gd name="adj" fmla="val 8120"/>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accent4">
                  <a:lumMod val="50000"/>
                </a:schemeClr>
              </a:solidFill>
            </a:rPr>
            <a:t>Sales</a:t>
          </a:r>
          <a:r>
            <a:rPr lang="en-US" sz="3200" b="1" baseline="0">
              <a:solidFill>
                <a:schemeClr val="accent4">
                  <a:lumMod val="50000"/>
                </a:schemeClr>
              </a:solidFill>
            </a:rPr>
            <a:t> Dashboard </a:t>
          </a:r>
          <a:r>
            <a:rPr lang="en-US" sz="3200" b="1">
              <a:solidFill>
                <a:schemeClr val="accent4">
                  <a:lumMod val="50000"/>
                </a:schemeClr>
              </a:solidFill>
            </a:rPr>
            <a:t>- 2024                                </a:t>
          </a:r>
        </a:p>
      </xdr:txBody>
    </xdr:sp>
    <xdr:clientData/>
  </xdr:twoCellAnchor>
  <xdr:twoCellAnchor>
    <xdr:from>
      <xdr:col>0</xdr:col>
      <xdr:colOff>542925</xdr:colOff>
      <xdr:row>5</xdr:row>
      <xdr:rowOff>85298</xdr:rowOff>
    </xdr:from>
    <xdr:to>
      <xdr:col>24</xdr:col>
      <xdr:colOff>96213</xdr:colOff>
      <xdr:row>53</xdr:row>
      <xdr:rowOff>132292</xdr:rowOff>
    </xdr:to>
    <xdr:grpSp>
      <xdr:nvGrpSpPr>
        <xdr:cNvPr id="7" name="Group 6">
          <a:extLst>
            <a:ext uri="{FF2B5EF4-FFF2-40B4-BE49-F238E27FC236}">
              <a16:creationId xmlns:a16="http://schemas.microsoft.com/office/drawing/2014/main" id="{90DEBF5F-8439-47F4-8212-72B93C3D5BA8}"/>
            </a:ext>
          </a:extLst>
        </xdr:cNvPr>
        <xdr:cNvGrpSpPr/>
      </xdr:nvGrpSpPr>
      <xdr:grpSpPr>
        <a:xfrm>
          <a:off x="542925" y="1000129"/>
          <a:ext cx="15309898" cy="8829366"/>
          <a:chOff x="542925" y="951207"/>
          <a:chExt cx="15486015" cy="8359721"/>
        </a:xfrm>
      </xdr:grpSpPr>
      <xdr:grpSp>
        <xdr:nvGrpSpPr>
          <xdr:cNvPr id="5" name="Group 4">
            <a:extLst>
              <a:ext uri="{FF2B5EF4-FFF2-40B4-BE49-F238E27FC236}">
                <a16:creationId xmlns:a16="http://schemas.microsoft.com/office/drawing/2014/main" id="{11F6FC38-FC93-472C-8EEB-E221D82217C8}"/>
              </a:ext>
            </a:extLst>
          </xdr:cNvPr>
          <xdr:cNvGrpSpPr/>
        </xdr:nvGrpSpPr>
        <xdr:grpSpPr>
          <a:xfrm>
            <a:off x="542925" y="951207"/>
            <a:ext cx="15486015" cy="8359721"/>
            <a:chOff x="542925" y="951207"/>
            <a:chExt cx="15486015" cy="8359721"/>
          </a:xfrm>
        </xdr:grpSpPr>
        <xdr:grpSp>
          <xdr:nvGrpSpPr>
            <xdr:cNvPr id="114" name="Group 113">
              <a:extLst>
                <a:ext uri="{FF2B5EF4-FFF2-40B4-BE49-F238E27FC236}">
                  <a16:creationId xmlns:a16="http://schemas.microsoft.com/office/drawing/2014/main" id="{9B68A71D-1DB4-4514-84C2-4F15CD801484}"/>
                </a:ext>
              </a:extLst>
            </xdr:cNvPr>
            <xdr:cNvGrpSpPr/>
          </xdr:nvGrpSpPr>
          <xdr:grpSpPr>
            <a:xfrm>
              <a:off x="542925" y="970684"/>
              <a:ext cx="2544328" cy="824634"/>
              <a:chOff x="530227" y="1504948"/>
              <a:chExt cx="2514598" cy="866775"/>
            </a:xfrm>
          </xdr:grpSpPr>
          <xdr:grpSp>
            <xdr:nvGrpSpPr>
              <xdr:cNvPr id="115" name="Group 114">
                <a:extLst>
                  <a:ext uri="{FF2B5EF4-FFF2-40B4-BE49-F238E27FC236}">
                    <a16:creationId xmlns:a16="http://schemas.microsoft.com/office/drawing/2014/main" id="{3689F9FA-4E5B-4B24-B3A8-FC06E0507D29}"/>
                  </a:ext>
                </a:extLst>
              </xdr:cNvPr>
              <xdr:cNvGrpSpPr/>
            </xdr:nvGrpSpPr>
            <xdr:grpSpPr>
              <a:xfrm>
                <a:off x="530227" y="1504948"/>
                <a:ext cx="2514598" cy="866775"/>
                <a:chOff x="530227" y="1507984"/>
                <a:chExt cx="2517785" cy="864394"/>
              </a:xfrm>
            </xdr:grpSpPr>
            <xdr:sp macro="" textlink="">
              <xdr:nvSpPr>
                <xdr:cNvPr id="117" name="Rectangle: Rounded Corners 116">
                  <a:extLst>
                    <a:ext uri="{FF2B5EF4-FFF2-40B4-BE49-F238E27FC236}">
                      <a16:creationId xmlns:a16="http://schemas.microsoft.com/office/drawing/2014/main" id="{32AEF078-C567-4AB9-9B75-96ADFA2BDEAF}"/>
                    </a:ext>
                  </a:extLst>
                </xdr:cNvPr>
                <xdr:cNvSpPr/>
              </xdr:nvSpPr>
              <xdr:spPr>
                <a:xfrm>
                  <a:off x="530227" y="1507984"/>
                  <a:ext cx="2289173" cy="864394"/>
                </a:xfrm>
                <a:prstGeom prst="roundRect">
                  <a:avLst>
                    <a:gd name="adj" fmla="val 8120"/>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latin typeface="+mn-lt"/>
                  </a:endParaRPr>
                </a:p>
              </xdr:txBody>
            </xdr:sp>
            <xdr:sp macro="" textlink="">
              <xdr:nvSpPr>
                <xdr:cNvPr id="118" name="Rectangle: Rounded Corners 117">
                  <a:extLst>
                    <a:ext uri="{FF2B5EF4-FFF2-40B4-BE49-F238E27FC236}">
                      <a16:creationId xmlns:a16="http://schemas.microsoft.com/office/drawing/2014/main" id="{37D43E82-A5D7-49BB-876B-22866F25E17D}"/>
                    </a:ext>
                  </a:extLst>
                </xdr:cNvPr>
                <xdr:cNvSpPr/>
              </xdr:nvSpPr>
              <xdr:spPr>
                <a:xfrm>
                  <a:off x="606426" y="1587343"/>
                  <a:ext cx="612774" cy="709046"/>
                </a:xfrm>
                <a:prstGeom prst="roundRect">
                  <a:avLst>
                    <a:gd name="adj" fmla="val 31376"/>
                  </a:avLst>
                </a:prstGeom>
                <a:solidFill>
                  <a:schemeClr val="accent4">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lumMod val="50000"/>
                      </a:schemeClr>
                    </a:solidFill>
                  </a:endParaRPr>
                </a:p>
              </xdr:txBody>
            </xdr:sp>
            <xdr:sp macro="" textlink="">
              <xdr:nvSpPr>
                <xdr:cNvPr id="119" name="TextBox 118">
                  <a:extLst>
                    <a:ext uri="{FF2B5EF4-FFF2-40B4-BE49-F238E27FC236}">
                      <a16:creationId xmlns:a16="http://schemas.microsoft.com/office/drawing/2014/main" id="{DF14484B-B388-45EE-8765-3111D00F4117}"/>
                    </a:ext>
                  </a:extLst>
                </xdr:cNvPr>
                <xdr:cNvSpPr txBox="1"/>
              </xdr:nvSpPr>
              <xdr:spPr>
                <a:xfrm>
                  <a:off x="1200162" y="1638484"/>
                  <a:ext cx="18478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cap="none" spc="0">
                      <a:ln w="0"/>
                      <a:solidFill>
                        <a:schemeClr val="accent4">
                          <a:lumMod val="50000"/>
                        </a:schemeClr>
                      </a:solidFill>
                      <a:effectLst>
                        <a:outerShdw blurRad="38100" dist="19050" dir="2700000" algn="tl" rotWithShape="0">
                          <a:schemeClr val="dk1">
                            <a:alpha val="40000"/>
                          </a:schemeClr>
                        </a:outerShdw>
                      </a:effectLst>
                      <a:latin typeface="+mn-lt"/>
                    </a:rPr>
                    <a:t>TOTAL</a:t>
                  </a:r>
                  <a:r>
                    <a:rPr lang="en-US" sz="1400" b="1" cap="none" spc="0" baseline="0">
                      <a:ln w="0"/>
                      <a:solidFill>
                        <a:schemeClr val="accent4">
                          <a:lumMod val="50000"/>
                        </a:schemeClr>
                      </a:solidFill>
                      <a:effectLst>
                        <a:outerShdw blurRad="38100" dist="19050" dir="2700000" algn="tl" rotWithShape="0">
                          <a:schemeClr val="dk1">
                            <a:alpha val="40000"/>
                          </a:schemeClr>
                        </a:outerShdw>
                      </a:effectLst>
                      <a:latin typeface="+mn-lt"/>
                    </a:rPr>
                    <a:t> </a:t>
                  </a:r>
                  <a:r>
                    <a:rPr lang="en-US" sz="1400" b="0" cap="none" spc="0" baseline="0">
                      <a:ln w="0"/>
                      <a:solidFill>
                        <a:schemeClr val="accent4">
                          <a:lumMod val="50000"/>
                        </a:schemeClr>
                      </a:solidFill>
                      <a:effectLst>
                        <a:outerShdw blurRad="38100" dist="19050" dir="2700000" algn="tl" rotWithShape="0">
                          <a:schemeClr val="dk1">
                            <a:alpha val="40000"/>
                          </a:schemeClr>
                        </a:outerShdw>
                      </a:effectLst>
                      <a:latin typeface="+mn-lt"/>
                    </a:rPr>
                    <a:t>SALES</a:t>
                  </a:r>
                  <a:endParaRPr lang="en-US" sz="1400" b="0" cap="none" spc="0">
                    <a:ln w="0"/>
                    <a:solidFill>
                      <a:schemeClr val="accent4">
                        <a:lumMod val="50000"/>
                      </a:schemeClr>
                    </a:solidFill>
                    <a:effectLst>
                      <a:outerShdw blurRad="38100" dist="19050" dir="2700000" algn="tl" rotWithShape="0">
                        <a:schemeClr val="dk1">
                          <a:alpha val="40000"/>
                        </a:schemeClr>
                      </a:outerShdw>
                    </a:effectLst>
                    <a:latin typeface="+mn-lt"/>
                  </a:endParaRPr>
                </a:p>
              </xdr:txBody>
            </xdr:sp>
            <xdr:sp macro="" textlink="'Sales Data'!M6">
              <xdr:nvSpPr>
                <xdr:cNvPr id="120" name="TextBox 119">
                  <a:extLst>
                    <a:ext uri="{FF2B5EF4-FFF2-40B4-BE49-F238E27FC236}">
                      <a16:creationId xmlns:a16="http://schemas.microsoft.com/office/drawing/2014/main" id="{09798CBE-2ACD-43FD-8530-B447E3D61E03}"/>
                    </a:ext>
                  </a:extLst>
                </xdr:cNvPr>
                <xdr:cNvSpPr txBox="1"/>
              </xdr:nvSpPr>
              <xdr:spPr>
                <a:xfrm>
                  <a:off x="1200138" y="1905157"/>
                  <a:ext cx="1533525"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A8377E-10A1-40C6-8055-F59231915C73}" type="TxLink">
                    <a:rPr lang="en-US" sz="1500" b="1" i="0" u="none" strike="noStrike">
                      <a:solidFill>
                        <a:schemeClr val="accent4">
                          <a:lumMod val="50000"/>
                        </a:schemeClr>
                      </a:solidFill>
                      <a:latin typeface="+mn-lt"/>
                    </a:rPr>
                    <a:pPr/>
                    <a:t>Rs. 85,725,800</a:t>
                  </a:fld>
                  <a:endParaRPr lang="en-US" sz="1500" b="1">
                    <a:solidFill>
                      <a:schemeClr val="accent4">
                        <a:lumMod val="50000"/>
                      </a:schemeClr>
                    </a:solidFill>
                    <a:latin typeface="+mn-lt"/>
                  </a:endParaRPr>
                </a:p>
              </xdr:txBody>
            </xdr:sp>
          </xdr:grpSp>
          <xdr:pic>
            <xdr:nvPicPr>
              <xdr:cNvPr id="116" name="Graphic 115" descr="Money with solid fill">
                <a:extLst>
                  <a:ext uri="{FF2B5EF4-FFF2-40B4-BE49-F238E27FC236}">
                    <a16:creationId xmlns:a16="http://schemas.microsoft.com/office/drawing/2014/main" id="{5381570D-52BD-433B-BF63-07A9E94B3F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79446" y="1774813"/>
                <a:ext cx="454025" cy="348636"/>
              </a:xfrm>
              <a:prstGeom prst="rect">
                <a:avLst/>
              </a:prstGeom>
            </xdr:spPr>
          </xdr:pic>
        </xdr:grpSp>
        <xdr:grpSp>
          <xdr:nvGrpSpPr>
            <xdr:cNvPr id="121" name="Group 120">
              <a:extLst>
                <a:ext uri="{FF2B5EF4-FFF2-40B4-BE49-F238E27FC236}">
                  <a16:creationId xmlns:a16="http://schemas.microsoft.com/office/drawing/2014/main" id="{9E66716B-8FD6-4F90-96F7-74889B7C0884}"/>
                </a:ext>
              </a:extLst>
            </xdr:cNvPr>
            <xdr:cNvGrpSpPr/>
          </xdr:nvGrpSpPr>
          <xdr:grpSpPr>
            <a:xfrm>
              <a:off x="2985655" y="970684"/>
              <a:ext cx="2537977" cy="824634"/>
              <a:chOff x="2940052" y="1504948"/>
              <a:chExt cx="2514598" cy="866775"/>
            </a:xfrm>
          </xdr:grpSpPr>
          <xdr:grpSp>
            <xdr:nvGrpSpPr>
              <xdr:cNvPr id="122" name="Group 121">
                <a:extLst>
                  <a:ext uri="{FF2B5EF4-FFF2-40B4-BE49-F238E27FC236}">
                    <a16:creationId xmlns:a16="http://schemas.microsoft.com/office/drawing/2014/main" id="{A8242F3F-25CB-4926-B76B-21BDF45415CB}"/>
                  </a:ext>
                </a:extLst>
              </xdr:cNvPr>
              <xdr:cNvGrpSpPr/>
            </xdr:nvGrpSpPr>
            <xdr:grpSpPr>
              <a:xfrm>
                <a:off x="2943227" y="1504948"/>
                <a:ext cx="2514598" cy="866775"/>
                <a:chOff x="530227" y="1507984"/>
                <a:chExt cx="2517785" cy="864394"/>
              </a:xfrm>
            </xdr:grpSpPr>
            <xdr:sp macro="" textlink="">
              <xdr:nvSpPr>
                <xdr:cNvPr id="124" name="Rectangle: Rounded Corners 123">
                  <a:extLst>
                    <a:ext uri="{FF2B5EF4-FFF2-40B4-BE49-F238E27FC236}">
                      <a16:creationId xmlns:a16="http://schemas.microsoft.com/office/drawing/2014/main" id="{586CEECB-4DEB-494F-BA45-2F0E0D7C8BAF}"/>
                    </a:ext>
                  </a:extLst>
                </xdr:cNvPr>
                <xdr:cNvSpPr/>
              </xdr:nvSpPr>
              <xdr:spPr>
                <a:xfrm>
                  <a:off x="530227" y="1507984"/>
                  <a:ext cx="2289173" cy="864394"/>
                </a:xfrm>
                <a:prstGeom prst="roundRect">
                  <a:avLst>
                    <a:gd name="adj" fmla="val 8120"/>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latin typeface="+mn-lt"/>
                  </a:endParaRPr>
                </a:p>
              </xdr:txBody>
            </xdr:sp>
            <xdr:sp macro="" textlink="">
              <xdr:nvSpPr>
                <xdr:cNvPr id="125" name="Rectangle: Rounded Corners 124">
                  <a:extLst>
                    <a:ext uri="{FF2B5EF4-FFF2-40B4-BE49-F238E27FC236}">
                      <a16:creationId xmlns:a16="http://schemas.microsoft.com/office/drawing/2014/main" id="{B1B779D8-631F-4B3D-AF05-47CD14C69CF9}"/>
                    </a:ext>
                  </a:extLst>
                </xdr:cNvPr>
                <xdr:cNvSpPr/>
              </xdr:nvSpPr>
              <xdr:spPr>
                <a:xfrm>
                  <a:off x="606426" y="1587343"/>
                  <a:ext cx="612774" cy="709046"/>
                </a:xfrm>
                <a:prstGeom prst="roundRect">
                  <a:avLst>
                    <a:gd name="adj" fmla="val 31376"/>
                  </a:avLst>
                </a:prstGeom>
                <a:solidFill>
                  <a:schemeClr val="accent4">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lumMod val="50000"/>
                      </a:schemeClr>
                    </a:solidFill>
                  </a:endParaRPr>
                </a:p>
              </xdr:txBody>
            </xdr:sp>
            <xdr:sp macro="" textlink="">
              <xdr:nvSpPr>
                <xdr:cNvPr id="126" name="TextBox 125">
                  <a:extLst>
                    <a:ext uri="{FF2B5EF4-FFF2-40B4-BE49-F238E27FC236}">
                      <a16:creationId xmlns:a16="http://schemas.microsoft.com/office/drawing/2014/main" id="{47D13BFB-8FB3-47CD-AB2D-C4D9D6ABAA02}"/>
                    </a:ext>
                  </a:extLst>
                </xdr:cNvPr>
                <xdr:cNvSpPr txBox="1"/>
              </xdr:nvSpPr>
              <xdr:spPr>
                <a:xfrm>
                  <a:off x="1200162" y="1638484"/>
                  <a:ext cx="18478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cap="none" spc="0">
                      <a:ln w="0"/>
                      <a:solidFill>
                        <a:schemeClr val="accent4">
                          <a:lumMod val="50000"/>
                        </a:schemeClr>
                      </a:solidFill>
                      <a:effectLst>
                        <a:outerShdw blurRad="38100" dist="19050" dir="2700000" algn="tl" rotWithShape="0">
                          <a:schemeClr val="dk1">
                            <a:alpha val="40000"/>
                          </a:schemeClr>
                        </a:outerShdw>
                      </a:effectLst>
                      <a:latin typeface="+mn-lt"/>
                    </a:rPr>
                    <a:t>AVERAGE</a:t>
                  </a:r>
                  <a:r>
                    <a:rPr lang="en-US" sz="1400" b="0" cap="none" spc="0" baseline="0">
                      <a:ln w="0"/>
                      <a:solidFill>
                        <a:schemeClr val="accent4">
                          <a:lumMod val="50000"/>
                        </a:schemeClr>
                      </a:solidFill>
                      <a:effectLst>
                        <a:outerShdw blurRad="38100" dist="19050" dir="2700000" algn="tl" rotWithShape="0">
                          <a:schemeClr val="dk1">
                            <a:alpha val="40000"/>
                          </a:schemeClr>
                        </a:outerShdw>
                      </a:effectLst>
                      <a:latin typeface="+mn-lt"/>
                    </a:rPr>
                    <a:t> SALES</a:t>
                  </a:r>
                  <a:endParaRPr lang="en-US" sz="1400" b="0" cap="none" spc="0">
                    <a:ln w="0"/>
                    <a:solidFill>
                      <a:schemeClr val="accent4">
                        <a:lumMod val="50000"/>
                      </a:schemeClr>
                    </a:solidFill>
                    <a:effectLst>
                      <a:outerShdw blurRad="38100" dist="19050" dir="2700000" algn="tl" rotWithShape="0">
                        <a:schemeClr val="dk1">
                          <a:alpha val="40000"/>
                        </a:schemeClr>
                      </a:outerShdw>
                    </a:effectLst>
                    <a:latin typeface="+mn-lt"/>
                  </a:endParaRPr>
                </a:p>
              </xdr:txBody>
            </xdr:sp>
            <xdr:sp macro="" textlink="'Sales Data'!M15">
              <xdr:nvSpPr>
                <xdr:cNvPr id="127" name="TextBox 126">
                  <a:extLst>
                    <a:ext uri="{FF2B5EF4-FFF2-40B4-BE49-F238E27FC236}">
                      <a16:creationId xmlns:a16="http://schemas.microsoft.com/office/drawing/2014/main" id="{84A4E9DB-2F3E-4A8D-842D-7E14B9E1B8EE}"/>
                    </a:ext>
                  </a:extLst>
                </xdr:cNvPr>
                <xdr:cNvSpPr txBox="1"/>
              </xdr:nvSpPr>
              <xdr:spPr>
                <a:xfrm>
                  <a:off x="1200138" y="1905157"/>
                  <a:ext cx="1533525"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D99360-725B-4EAF-B103-723A6A0AEF1A}" type="TxLink">
                    <a:rPr lang="en-US" sz="1500" b="1" i="0" u="none" strike="noStrike">
                      <a:solidFill>
                        <a:schemeClr val="accent4">
                          <a:lumMod val="50000"/>
                        </a:schemeClr>
                      </a:solidFill>
                      <a:latin typeface="+mn-lt"/>
                    </a:rPr>
                    <a:pPr/>
                    <a:t>285752.6667</a:t>
                  </a:fld>
                  <a:endParaRPr lang="en-US" sz="1500" b="1">
                    <a:solidFill>
                      <a:schemeClr val="accent4">
                        <a:lumMod val="50000"/>
                      </a:schemeClr>
                    </a:solidFill>
                    <a:latin typeface="+mn-lt"/>
                  </a:endParaRPr>
                </a:p>
              </xdr:txBody>
            </xdr:sp>
          </xdr:grpSp>
          <xdr:pic>
            <xdr:nvPicPr>
              <xdr:cNvPr id="123" name="Graphic 122" descr="Coins with solid fill">
                <a:extLst>
                  <a:ext uri="{FF2B5EF4-FFF2-40B4-BE49-F238E27FC236}">
                    <a16:creationId xmlns:a16="http://schemas.microsoft.com/office/drawing/2014/main" id="{9156ECF1-27EB-4ED6-88DB-AE169C43C4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105925" y="1645424"/>
                <a:ext cx="457200" cy="555401"/>
              </a:xfrm>
              <a:prstGeom prst="rect">
                <a:avLst/>
              </a:prstGeom>
            </xdr:spPr>
          </xdr:pic>
        </xdr:grpSp>
        <xdr:grpSp>
          <xdr:nvGrpSpPr>
            <xdr:cNvPr id="128" name="Group 127">
              <a:extLst>
                <a:ext uri="{FF2B5EF4-FFF2-40B4-BE49-F238E27FC236}">
                  <a16:creationId xmlns:a16="http://schemas.microsoft.com/office/drawing/2014/main" id="{6276888F-AD74-49E1-8580-A236DA4DE9F6}"/>
                </a:ext>
              </a:extLst>
            </xdr:cNvPr>
            <xdr:cNvGrpSpPr/>
          </xdr:nvGrpSpPr>
          <xdr:grpSpPr>
            <a:xfrm>
              <a:off x="7870825" y="970684"/>
              <a:ext cx="2534803" cy="824634"/>
              <a:chOff x="7781927" y="1504948"/>
              <a:chExt cx="2514598" cy="866775"/>
            </a:xfrm>
          </xdr:grpSpPr>
          <xdr:grpSp>
            <xdr:nvGrpSpPr>
              <xdr:cNvPr id="129" name="Group 128">
                <a:extLst>
                  <a:ext uri="{FF2B5EF4-FFF2-40B4-BE49-F238E27FC236}">
                    <a16:creationId xmlns:a16="http://schemas.microsoft.com/office/drawing/2014/main" id="{E54B9B12-167E-4CD6-89F9-C7E82D63F0A7}"/>
                  </a:ext>
                </a:extLst>
              </xdr:cNvPr>
              <xdr:cNvGrpSpPr/>
            </xdr:nvGrpSpPr>
            <xdr:grpSpPr>
              <a:xfrm>
                <a:off x="7781927" y="1504948"/>
                <a:ext cx="2514598" cy="866775"/>
                <a:chOff x="530227" y="1507984"/>
                <a:chExt cx="2517785" cy="864394"/>
              </a:xfrm>
            </xdr:grpSpPr>
            <xdr:sp macro="" textlink="">
              <xdr:nvSpPr>
                <xdr:cNvPr id="131" name="Rectangle: Rounded Corners 130">
                  <a:extLst>
                    <a:ext uri="{FF2B5EF4-FFF2-40B4-BE49-F238E27FC236}">
                      <a16:creationId xmlns:a16="http://schemas.microsoft.com/office/drawing/2014/main" id="{93012CD3-476F-4706-AAE3-B3CD03A70D3B}"/>
                    </a:ext>
                  </a:extLst>
                </xdr:cNvPr>
                <xdr:cNvSpPr/>
              </xdr:nvSpPr>
              <xdr:spPr>
                <a:xfrm>
                  <a:off x="530227" y="1507984"/>
                  <a:ext cx="2289173" cy="864394"/>
                </a:xfrm>
                <a:prstGeom prst="roundRect">
                  <a:avLst>
                    <a:gd name="adj" fmla="val 8120"/>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latin typeface="+mn-lt"/>
                  </a:endParaRPr>
                </a:p>
              </xdr:txBody>
            </xdr:sp>
            <xdr:sp macro="" textlink="">
              <xdr:nvSpPr>
                <xdr:cNvPr id="132" name="Rectangle: Rounded Corners 131">
                  <a:extLst>
                    <a:ext uri="{FF2B5EF4-FFF2-40B4-BE49-F238E27FC236}">
                      <a16:creationId xmlns:a16="http://schemas.microsoft.com/office/drawing/2014/main" id="{185FD76D-23AB-4EAD-9B13-BAB5EE0FA886}"/>
                    </a:ext>
                  </a:extLst>
                </xdr:cNvPr>
                <xdr:cNvSpPr/>
              </xdr:nvSpPr>
              <xdr:spPr>
                <a:xfrm>
                  <a:off x="606426" y="1587343"/>
                  <a:ext cx="612774" cy="709046"/>
                </a:xfrm>
                <a:prstGeom prst="roundRect">
                  <a:avLst>
                    <a:gd name="adj" fmla="val 31376"/>
                  </a:avLst>
                </a:prstGeom>
                <a:solidFill>
                  <a:schemeClr val="accent4">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lumMod val="50000"/>
                      </a:schemeClr>
                    </a:solidFill>
                  </a:endParaRPr>
                </a:p>
              </xdr:txBody>
            </xdr:sp>
            <xdr:sp macro="" textlink="">
              <xdr:nvSpPr>
                <xdr:cNvPr id="133" name="TextBox 132">
                  <a:extLst>
                    <a:ext uri="{FF2B5EF4-FFF2-40B4-BE49-F238E27FC236}">
                      <a16:creationId xmlns:a16="http://schemas.microsoft.com/office/drawing/2014/main" id="{E9446931-AA2D-40A1-8261-003DACB8A866}"/>
                    </a:ext>
                  </a:extLst>
                </xdr:cNvPr>
                <xdr:cNvSpPr txBox="1"/>
              </xdr:nvSpPr>
              <xdr:spPr>
                <a:xfrm>
                  <a:off x="1200162" y="1638484"/>
                  <a:ext cx="18478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cap="none" spc="0">
                      <a:ln w="0"/>
                      <a:solidFill>
                        <a:schemeClr val="accent4">
                          <a:lumMod val="50000"/>
                        </a:schemeClr>
                      </a:solidFill>
                      <a:effectLst>
                        <a:outerShdw blurRad="38100" dist="19050" dir="2700000" algn="tl" rotWithShape="0">
                          <a:schemeClr val="dk1">
                            <a:alpha val="40000"/>
                          </a:schemeClr>
                        </a:outerShdw>
                      </a:effectLst>
                      <a:latin typeface="+mn-lt"/>
                    </a:rPr>
                    <a:t>TOTAL</a:t>
                  </a:r>
                  <a:r>
                    <a:rPr lang="en-US" sz="1400" b="1" cap="none" spc="0" baseline="0">
                      <a:ln w="0"/>
                      <a:solidFill>
                        <a:schemeClr val="accent4">
                          <a:lumMod val="50000"/>
                        </a:schemeClr>
                      </a:solidFill>
                      <a:effectLst>
                        <a:outerShdw blurRad="38100" dist="19050" dir="2700000" algn="tl" rotWithShape="0">
                          <a:schemeClr val="dk1">
                            <a:alpha val="40000"/>
                          </a:schemeClr>
                        </a:outerShdw>
                      </a:effectLst>
                      <a:latin typeface="+mn-lt"/>
                    </a:rPr>
                    <a:t> </a:t>
                  </a:r>
                  <a:r>
                    <a:rPr lang="en-US" sz="1400" b="0" cap="none" spc="0" baseline="0">
                      <a:ln w="0"/>
                      <a:solidFill>
                        <a:schemeClr val="accent4">
                          <a:lumMod val="50000"/>
                        </a:schemeClr>
                      </a:solidFill>
                      <a:effectLst>
                        <a:outerShdw blurRad="38100" dist="19050" dir="2700000" algn="tl" rotWithShape="0">
                          <a:schemeClr val="dk1">
                            <a:alpha val="40000"/>
                          </a:schemeClr>
                        </a:outerShdw>
                      </a:effectLst>
                      <a:latin typeface="+mn-lt"/>
                    </a:rPr>
                    <a:t>PROFIT</a:t>
                  </a:r>
                  <a:endParaRPr lang="en-US" sz="1400" b="0" cap="none" spc="0">
                    <a:ln w="0"/>
                    <a:solidFill>
                      <a:schemeClr val="accent4">
                        <a:lumMod val="50000"/>
                      </a:schemeClr>
                    </a:solidFill>
                    <a:effectLst>
                      <a:outerShdw blurRad="38100" dist="19050" dir="2700000" algn="tl" rotWithShape="0">
                        <a:schemeClr val="dk1">
                          <a:alpha val="40000"/>
                        </a:schemeClr>
                      </a:outerShdw>
                    </a:effectLst>
                    <a:latin typeface="+mn-lt"/>
                  </a:endParaRPr>
                </a:p>
              </xdr:txBody>
            </xdr:sp>
            <xdr:sp macro="" textlink="'Sales Data'!M12">
              <xdr:nvSpPr>
                <xdr:cNvPr id="134" name="TextBox 133">
                  <a:extLst>
                    <a:ext uri="{FF2B5EF4-FFF2-40B4-BE49-F238E27FC236}">
                      <a16:creationId xmlns:a16="http://schemas.microsoft.com/office/drawing/2014/main" id="{65B3E330-6175-4090-8DD0-5D11B4E5ED1F}"/>
                    </a:ext>
                  </a:extLst>
                </xdr:cNvPr>
                <xdr:cNvSpPr txBox="1"/>
              </xdr:nvSpPr>
              <xdr:spPr>
                <a:xfrm>
                  <a:off x="1200138" y="1905157"/>
                  <a:ext cx="1533525"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98CAE4-67FF-40F7-A026-80ECBC8963FA}" type="TxLink">
                    <a:rPr lang="en-US" sz="1500" b="1" i="0" u="none" strike="noStrike">
                      <a:solidFill>
                        <a:schemeClr val="accent4">
                          <a:lumMod val="50000"/>
                        </a:schemeClr>
                      </a:solidFill>
                      <a:latin typeface="+mn-lt"/>
                    </a:rPr>
                    <a:pPr/>
                    <a:t>Rs. 26,296,950</a:t>
                  </a:fld>
                  <a:endParaRPr lang="en-US" sz="1500" b="1">
                    <a:solidFill>
                      <a:schemeClr val="accent4">
                        <a:lumMod val="50000"/>
                      </a:schemeClr>
                    </a:solidFill>
                    <a:latin typeface="+mn-lt"/>
                  </a:endParaRPr>
                </a:p>
              </xdr:txBody>
            </xdr:sp>
          </xdr:grpSp>
          <xdr:pic>
            <xdr:nvPicPr>
              <xdr:cNvPr id="130" name="Graphic 129" descr="Upward trend with solid fill">
                <a:extLst>
                  <a:ext uri="{FF2B5EF4-FFF2-40B4-BE49-F238E27FC236}">
                    <a16:creationId xmlns:a16="http://schemas.microsoft.com/office/drawing/2014/main" id="{6674B66D-0043-4F09-9A21-01C2CF8DA92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937497" y="1726670"/>
                <a:ext cx="454025" cy="350181"/>
              </a:xfrm>
              <a:prstGeom prst="rect">
                <a:avLst/>
              </a:prstGeom>
            </xdr:spPr>
          </xdr:pic>
        </xdr:grpSp>
        <xdr:grpSp>
          <xdr:nvGrpSpPr>
            <xdr:cNvPr id="135" name="Group 134">
              <a:extLst>
                <a:ext uri="{FF2B5EF4-FFF2-40B4-BE49-F238E27FC236}">
                  <a16:creationId xmlns:a16="http://schemas.microsoft.com/office/drawing/2014/main" id="{7FED8E84-8F2D-4B30-9A9C-4A27A047FC16}"/>
                </a:ext>
              </a:extLst>
            </xdr:cNvPr>
            <xdr:cNvGrpSpPr/>
          </xdr:nvGrpSpPr>
          <xdr:grpSpPr>
            <a:xfrm>
              <a:off x="5431559" y="970684"/>
              <a:ext cx="2544328" cy="824634"/>
              <a:chOff x="5368927" y="1504948"/>
              <a:chExt cx="2517773" cy="866775"/>
            </a:xfrm>
          </xdr:grpSpPr>
          <xdr:grpSp>
            <xdr:nvGrpSpPr>
              <xdr:cNvPr id="136" name="Group 135">
                <a:extLst>
                  <a:ext uri="{FF2B5EF4-FFF2-40B4-BE49-F238E27FC236}">
                    <a16:creationId xmlns:a16="http://schemas.microsoft.com/office/drawing/2014/main" id="{EAD03BCB-A96C-4572-A8AB-583A4883827F}"/>
                  </a:ext>
                </a:extLst>
              </xdr:cNvPr>
              <xdr:cNvGrpSpPr/>
            </xdr:nvGrpSpPr>
            <xdr:grpSpPr>
              <a:xfrm>
                <a:off x="5368927" y="1504948"/>
                <a:ext cx="2517773" cy="866775"/>
                <a:chOff x="530227" y="1507984"/>
                <a:chExt cx="2517785" cy="864394"/>
              </a:xfrm>
            </xdr:grpSpPr>
            <xdr:sp macro="" textlink="">
              <xdr:nvSpPr>
                <xdr:cNvPr id="138" name="Rectangle: Rounded Corners 137">
                  <a:extLst>
                    <a:ext uri="{FF2B5EF4-FFF2-40B4-BE49-F238E27FC236}">
                      <a16:creationId xmlns:a16="http://schemas.microsoft.com/office/drawing/2014/main" id="{177A61EA-9669-4203-93F7-3A74B082AB1F}"/>
                    </a:ext>
                  </a:extLst>
                </xdr:cNvPr>
                <xdr:cNvSpPr/>
              </xdr:nvSpPr>
              <xdr:spPr>
                <a:xfrm>
                  <a:off x="530227" y="1507984"/>
                  <a:ext cx="2289173" cy="864394"/>
                </a:xfrm>
                <a:prstGeom prst="roundRect">
                  <a:avLst>
                    <a:gd name="adj" fmla="val 8120"/>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latin typeface="+mn-lt"/>
                  </a:endParaRPr>
                </a:p>
              </xdr:txBody>
            </xdr:sp>
            <xdr:sp macro="" textlink="">
              <xdr:nvSpPr>
                <xdr:cNvPr id="139" name="Rectangle: Rounded Corners 138">
                  <a:extLst>
                    <a:ext uri="{FF2B5EF4-FFF2-40B4-BE49-F238E27FC236}">
                      <a16:creationId xmlns:a16="http://schemas.microsoft.com/office/drawing/2014/main" id="{16A55C4A-1B17-4E8E-90A0-BA36B2CAEE17}"/>
                    </a:ext>
                  </a:extLst>
                </xdr:cNvPr>
                <xdr:cNvSpPr/>
              </xdr:nvSpPr>
              <xdr:spPr>
                <a:xfrm>
                  <a:off x="606426" y="1587343"/>
                  <a:ext cx="612774" cy="709046"/>
                </a:xfrm>
                <a:prstGeom prst="roundRect">
                  <a:avLst>
                    <a:gd name="adj" fmla="val 31376"/>
                  </a:avLst>
                </a:prstGeom>
                <a:solidFill>
                  <a:schemeClr val="accent4">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lumMod val="50000"/>
                      </a:schemeClr>
                    </a:solidFill>
                  </a:endParaRPr>
                </a:p>
              </xdr:txBody>
            </xdr:sp>
            <xdr:sp macro="" textlink="">
              <xdr:nvSpPr>
                <xdr:cNvPr id="140" name="TextBox 139">
                  <a:extLst>
                    <a:ext uri="{FF2B5EF4-FFF2-40B4-BE49-F238E27FC236}">
                      <a16:creationId xmlns:a16="http://schemas.microsoft.com/office/drawing/2014/main" id="{EBC610D5-DBFF-43C2-8283-1B989944E6A2}"/>
                    </a:ext>
                  </a:extLst>
                </xdr:cNvPr>
                <xdr:cNvSpPr txBox="1"/>
              </xdr:nvSpPr>
              <xdr:spPr>
                <a:xfrm>
                  <a:off x="1200162" y="1638484"/>
                  <a:ext cx="18478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cap="none" spc="0">
                      <a:ln w="0"/>
                      <a:solidFill>
                        <a:schemeClr val="accent4">
                          <a:lumMod val="50000"/>
                        </a:schemeClr>
                      </a:solidFill>
                      <a:effectLst>
                        <a:outerShdw blurRad="38100" dist="19050" dir="2700000" algn="tl" rotWithShape="0">
                          <a:schemeClr val="dk1">
                            <a:alpha val="40000"/>
                          </a:schemeClr>
                        </a:outerShdw>
                      </a:effectLst>
                      <a:latin typeface="+mn-lt"/>
                    </a:rPr>
                    <a:t>UNITS SOLD	</a:t>
                  </a:r>
                </a:p>
              </xdr:txBody>
            </xdr:sp>
            <xdr:sp macro="" textlink="'Sales Data'!M9">
              <xdr:nvSpPr>
                <xdr:cNvPr id="141" name="TextBox 140">
                  <a:extLst>
                    <a:ext uri="{FF2B5EF4-FFF2-40B4-BE49-F238E27FC236}">
                      <a16:creationId xmlns:a16="http://schemas.microsoft.com/office/drawing/2014/main" id="{3FB8A8C1-EA8B-4866-A921-395ED5E51AC9}"/>
                    </a:ext>
                  </a:extLst>
                </xdr:cNvPr>
                <xdr:cNvSpPr txBox="1"/>
              </xdr:nvSpPr>
              <xdr:spPr>
                <a:xfrm>
                  <a:off x="1200138" y="1905157"/>
                  <a:ext cx="1533525"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59DCA9-CE53-4490-87B1-DED5D64C0618}" type="TxLink">
                    <a:rPr lang="en-US" sz="1500" b="1" i="0" u="none" strike="noStrike">
                      <a:solidFill>
                        <a:schemeClr val="accent4">
                          <a:lumMod val="50000"/>
                        </a:schemeClr>
                      </a:solidFill>
                      <a:latin typeface="+mn-lt"/>
                    </a:rPr>
                    <a:pPr/>
                    <a:t>23,933</a:t>
                  </a:fld>
                  <a:endParaRPr lang="en-US" sz="1500" b="1">
                    <a:solidFill>
                      <a:schemeClr val="accent4">
                        <a:lumMod val="50000"/>
                      </a:schemeClr>
                    </a:solidFill>
                    <a:latin typeface="+mn-lt"/>
                  </a:endParaRPr>
                </a:p>
              </xdr:txBody>
            </xdr:sp>
          </xdr:grpSp>
          <xdr:pic>
            <xdr:nvPicPr>
              <xdr:cNvPr id="137" name="Graphic 136" descr="Shopping cart with solid fill">
                <a:extLst>
                  <a:ext uri="{FF2B5EF4-FFF2-40B4-BE49-F238E27FC236}">
                    <a16:creationId xmlns:a16="http://schemas.microsoft.com/office/drawing/2014/main" id="{9F16C764-6792-47C5-B47E-B58F4783004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549900" y="1692275"/>
                <a:ext cx="459846" cy="457200"/>
              </a:xfrm>
              <a:prstGeom prst="rect">
                <a:avLst/>
              </a:prstGeom>
            </xdr:spPr>
          </xdr:pic>
        </xdr:grpSp>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DBA2687A-0328-49F1-BCDB-C2C727C0BD76}"/>
                    </a:ext>
                  </a:extLst>
                </xdr:cNvPr>
                <xdr:cNvGraphicFramePr/>
              </xdr:nvGraphicFramePr>
              <xdr:xfrm>
                <a:off x="10365492" y="951207"/>
                <a:ext cx="5663448" cy="856432"/>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53783" y="1000129"/>
                  <a:ext cx="5599040" cy="904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4" name="Product">
                  <a:extLst>
                    <a:ext uri="{FF2B5EF4-FFF2-40B4-BE49-F238E27FC236}">
                      <a16:creationId xmlns:a16="http://schemas.microsoft.com/office/drawing/2014/main" id="{FF73474F-1A95-4A6E-B7AC-1F74A25DE8CD}"/>
                    </a:ext>
                  </a:extLst>
                </xdr:cNvPr>
                <xdr:cNvGraphicFramePr/>
              </xdr:nvGraphicFramePr>
              <xdr:xfrm>
                <a:off x="578134" y="1933630"/>
                <a:ext cx="2249301" cy="3008066"/>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77734" y="2037744"/>
                  <a:ext cx="2223720" cy="3177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5" name="Sales Person">
                  <a:extLst>
                    <a:ext uri="{FF2B5EF4-FFF2-40B4-BE49-F238E27FC236}">
                      <a16:creationId xmlns:a16="http://schemas.microsoft.com/office/drawing/2014/main" id="{A801F931-457C-47B4-9314-95E75763CBA4}"/>
                    </a:ext>
                  </a:extLst>
                </xdr:cNvPr>
                <xdr:cNvGraphicFramePr/>
              </xdr:nvGraphicFramePr>
              <xdr:xfrm>
                <a:off x="608541" y="5007840"/>
                <a:ext cx="2218893" cy="4250171"/>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607795" y="5284662"/>
                  <a:ext cx="2193658" cy="4488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2" name="Rectangle: Rounded Corners 41">
              <a:extLst>
                <a:ext uri="{FF2B5EF4-FFF2-40B4-BE49-F238E27FC236}">
                  <a16:creationId xmlns:a16="http://schemas.microsoft.com/office/drawing/2014/main" id="{1F4C8812-4797-4D5E-8AED-D1647B6B9D2C}"/>
                </a:ext>
              </a:extLst>
            </xdr:cNvPr>
            <xdr:cNvSpPr/>
          </xdr:nvSpPr>
          <xdr:spPr>
            <a:xfrm>
              <a:off x="3151966" y="2254584"/>
              <a:ext cx="6512541" cy="3225920"/>
            </a:xfrm>
            <a:prstGeom prst="roundRect">
              <a:avLst>
                <a:gd name="adj" fmla="val 8120"/>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4">
                      <a:lumMod val="50000"/>
                    </a:schemeClr>
                  </a:solidFill>
                </a:rPr>
                <a:t>Unit Sold</a:t>
              </a:r>
              <a:r>
                <a:rPr lang="en-US" sz="1400" b="1" baseline="0">
                  <a:solidFill>
                    <a:schemeClr val="accent4">
                      <a:lumMod val="50000"/>
                    </a:schemeClr>
                  </a:solidFill>
                </a:rPr>
                <a:t> by Product</a:t>
              </a:r>
              <a:endParaRPr lang="en-US" sz="1400" b="1">
                <a:solidFill>
                  <a:schemeClr val="accent4">
                    <a:lumMod val="50000"/>
                  </a:schemeClr>
                </a:solidFill>
              </a:endParaRPr>
            </a:p>
          </xdr:txBody>
        </xdr:sp>
        <xdr:sp macro="" textlink="">
          <xdr:nvSpPr>
            <xdr:cNvPr id="48" name="Rectangle: Rounded Corners 47">
              <a:extLst>
                <a:ext uri="{FF2B5EF4-FFF2-40B4-BE49-F238E27FC236}">
                  <a16:creationId xmlns:a16="http://schemas.microsoft.com/office/drawing/2014/main" id="{1DB0647F-88B0-422F-8FF2-790F0430FE39}"/>
                </a:ext>
              </a:extLst>
            </xdr:cNvPr>
            <xdr:cNvSpPr/>
          </xdr:nvSpPr>
          <xdr:spPr>
            <a:xfrm>
              <a:off x="3138057" y="5667201"/>
              <a:ext cx="7602824" cy="3617269"/>
            </a:xfrm>
            <a:prstGeom prst="roundRect">
              <a:avLst>
                <a:gd name="adj" fmla="val 8120"/>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4">
                      <a:lumMod val="50000"/>
                    </a:schemeClr>
                  </a:solidFill>
                </a:rPr>
                <a:t>Total Sales by Sales Person</a:t>
              </a:r>
            </a:p>
          </xdr:txBody>
        </xdr:sp>
        <xdr:sp macro="" textlink="">
          <xdr:nvSpPr>
            <xdr:cNvPr id="54" name="Rectangle: Rounded Corners 53">
              <a:extLst>
                <a:ext uri="{FF2B5EF4-FFF2-40B4-BE49-F238E27FC236}">
                  <a16:creationId xmlns:a16="http://schemas.microsoft.com/office/drawing/2014/main" id="{8D76DEDD-A78E-4ABB-BF25-3AB2AF3A982F}"/>
                </a:ext>
              </a:extLst>
            </xdr:cNvPr>
            <xdr:cNvSpPr/>
          </xdr:nvSpPr>
          <xdr:spPr>
            <a:xfrm>
              <a:off x="9740084" y="2270913"/>
              <a:ext cx="6167143" cy="3225920"/>
            </a:xfrm>
            <a:prstGeom prst="roundRect">
              <a:avLst>
                <a:gd name="adj" fmla="val 8120"/>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4">
                      <a:lumMod val="50000"/>
                    </a:schemeClr>
                  </a:solidFill>
                </a:rPr>
                <a:t>Unit Sold</a:t>
              </a:r>
              <a:r>
                <a:rPr lang="en-US" sz="1400" b="1" baseline="0">
                  <a:solidFill>
                    <a:schemeClr val="accent4">
                      <a:lumMod val="50000"/>
                    </a:schemeClr>
                  </a:solidFill>
                </a:rPr>
                <a:t> by Product</a:t>
              </a:r>
              <a:endParaRPr lang="en-US" sz="1400" b="1">
                <a:solidFill>
                  <a:schemeClr val="accent4">
                    <a:lumMod val="50000"/>
                  </a:schemeClr>
                </a:solidFill>
              </a:endParaRPr>
            </a:p>
          </xdr:txBody>
        </xdr:sp>
        <xdr:grpSp>
          <xdr:nvGrpSpPr>
            <xdr:cNvPr id="4" name="Group 3">
              <a:extLst>
                <a:ext uri="{FF2B5EF4-FFF2-40B4-BE49-F238E27FC236}">
                  <a16:creationId xmlns:a16="http://schemas.microsoft.com/office/drawing/2014/main" id="{6527B9D9-CF18-4117-83C9-DC9D2C00529D}"/>
                </a:ext>
              </a:extLst>
            </xdr:cNvPr>
            <xdr:cNvGrpSpPr/>
          </xdr:nvGrpSpPr>
          <xdr:grpSpPr>
            <a:xfrm>
              <a:off x="10891693" y="5635200"/>
              <a:ext cx="5008644" cy="3675728"/>
              <a:chOff x="9783169" y="5721089"/>
              <a:chExt cx="6183554" cy="3250885"/>
            </a:xfrm>
          </xdr:grpSpPr>
          <xdr:sp macro="" textlink="">
            <xdr:nvSpPr>
              <xdr:cNvPr id="51" name="Rectangle: Rounded Corners 50">
                <a:extLst>
                  <a:ext uri="{FF2B5EF4-FFF2-40B4-BE49-F238E27FC236}">
                    <a16:creationId xmlns:a16="http://schemas.microsoft.com/office/drawing/2014/main" id="{79DA22DA-A803-454C-A7CD-626DFAE39897}"/>
                  </a:ext>
                </a:extLst>
              </xdr:cNvPr>
              <xdr:cNvSpPr/>
            </xdr:nvSpPr>
            <xdr:spPr>
              <a:xfrm>
                <a:off x="9783169" y="5721089"/>
                <a:ext cx="6183554" cy="3250885"/>
              </a:xfrm>
              <a:prstGeom prst="roundRect">
                <a:avLst>
                  <a:gd name="adj" fmla="val 8120"/>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4">
                        <a:lumMod val="50000"/>
                      </a:schemeClr>
                    </a:solidFill>
                  </a:rPr>
                  <a:t>Total Sales by</a:t>
                </a:r>
                <a:r>
                  <a:rPr lang="en-US" sz="1400" b="1" baseline="0">
                    <a:solidFill>
                      <a:schemeClr val="accent4">
                        <a:lumMod val="50000"/>
                      </a:schemeClr>
                    </a:solidFill>
                  </a:rPr>
                  <a:t> Region</a:t>
                </a:r>
                <a:endParaRPr lang="en-US" sz="1400" b="1">
                  <a:solidFill>
                    <a:schemeClr val="accent4">
                      <a:lumMod val="50000"/>
                    </a:schemeClr>
                  </a:solidFill>
                </a:endParaRPr>
              </a:p>
            </xdr:txBody>
          </xdr:sp>
          <xdr:graphicFrame macro="">
            <xdr:nvGraphicFramePr>
              <xdr:cNvPr id="56" name="Chart 55">
                <a:extLst>
                  <a:ext uri="{FF2B5EF4-FFF2-40B4-BE49-F238E27FC236}">
                    <a16:creationId xmlns:a16="http://schemas.microsoft.com/office/drawing/2014/main" id="{12792F7E-EF59-47B9-B42E-6FF98CC7B81D}"/>
                  </a:ext>
                </a:extLst>
              </xdr:cNvPr>
              <xdr:cNvGraphicFramePr>
                <a:graphicFrameLocks/>
              </xdr:cNvGraphicFramePr>
            </xdr:nvGraphicFramePr>
            <xdr:xfrm>
              <a:off x="9847339" y="6107988"/>
              <a:ext cx="6001959" cy="2789571"/>
            </xdr:xfrm>
            <a:graphic>
              <a:graphicData uri="http://schemas.openxmlformats.org/drawingml/2006/chart">
                <c:chart xmlns:c="http://schemas.openxmlformats.org/drawingml/2006/chart" xmlns:r="http://schemas.openxmlformats.org/officeDocument/2006/relationships" r:id="rId9"/>
              </a:graphicData>
            </a:graphic>
          </xdr:graphicFrame>
        </xdr:grpSp>
      </xdr:grpSp>
      <xdr:graphicFrame macro="">
        <xdr:nvGraphicFramePr>
          <xdr:cNvPr id="57" name="Chart 56">
            <a:extLst>
              <a:ext uri="{FF2B5EF4-FFF2-40B4-BE49-F238E27FC236}">
                <a16:creationId xmlns:a16="http://schemas.microsoft.com/office/drawing/2014/main" id="{EBEA43C0-0AFC-44E0-BBD0-375970262EBE}"/>
              </a:ext>
            </a:extLst>
          </xdr:cNvPr>
          <xdr:cNvGraphicFramePr>
            <a:graphicFrameLocks/>
          </xdr:cNvGraphicFramePr>
        </xdr:nvGraphicFramePr>
        <xdr:xfrm>
          <a:off x="3245097" y="5994015"/>
          <a:ext cx="7414128" cy="3113859"/>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14</xdr:col>
      <xdr:colOff>557245</xdr:colOff>
      <xdr:row>14</xdr:row>
      <xdr:rowOff>168469</xdr:rowOff>
    </xdr:from>
    <xdr:to>
      <xdr:col>23</xdr:col>
      <xdr:colOff>518368</xdr:colOff>
      <xdr:row>30</xdr:row>
      <xdr:rowOff>155510</xdr:rowOff>
    </xdr:to>
    <xdr:graphicFrame macro="">
      <xdr:nvGraphicFramePr>
        <xdr:cNvPr id="58" name="Chart 57">
          <a:extLst>
            <a:ext uri="{FF2B5EF4-FFF2-40B4-BE49-F238E27FC236}">
              <a16:creationId xmlns:a16="http://schemas.microsoft.com/office/drawing/2014/main" id="{FA9B5860-F0EE-458B-A3A8-704F09FA9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596514</xdr:colOff>
      <xdr:row>15</xdr:row>
      <xdr:rowOff>22952</xdr:rowOff>
    </xdr:from>
    <xdr:to>
      <xdr:col>14</xdr:col>
      <xdr:colOff>244819</xdr:colOff>
      <xdr:row>31</xdr:row>
      <xdr:rowOff>51118</xdr:rowOff>
    </xdr:to>
    <xdr:graphicFrame macro="">
      <xdr:nvGraphicFramePr>
        <xdr:cNvPr id="63" name="Chart 62">
          <a:extLst>
            <a:ext uri="{FF2B5EF4-FFF2-40B4-BE49-F238E27FC236}">
              <a16:creationId xmlns:a16="http://schemas.microsoft.com/office/drawing/2014/main" id="{DFE69936-9EA3-4B13-9B75-FF3DCBBE0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8.453178819444" createdVersion="7" refreshedVersion="7" minRefreshableVersion="3" recordCount="300" xr:uid="{26F00E41-B909-4697-853A-8E4BB079316B}">
  <cacheSource type="worksheet">
    <worksheetSource name="SalesDataTable"/>
  </cacheSource>
  <cacheFields count="11">
    <cacheField name="Date" numFmtId="164">
      <sharedItems containsSemiMixedTypes="0" containsNonDate="0" containsDate="1" containsString="0" minDate="2024-01-09T00:00:00" maxDate="2025-12-29T00:00:00" count="235">
        <d v="2024-01-09T00:00:00"/>
        <d v="2024-01-10T00:00:00"/>
        <d v="2024-01-14T00:00:00"/>
        <d v="2024-01-20T00:00:00"/>
        <d v="2024-01-24T00:00:00"/>
        <d v="2024-01-28T00:00:00"/>
        <d v="2024-01-30T00:00:00"/>
        <d v="2024-02-01T00:00:00"/>
        <d v="2024-02-02T00:00:00"/>
        <d v="2024-02-11T00:00:00"/>
        <d v="2024-02-13T00:00:00"/>
        <d v="2024-02-14T00:00:00"/>
        <d v="2024-02-20T00:00:00"/>
        <d v="2024-02-22T00:00:00"/>
        <d v="2024-02-25T00:00:00"/>
        <d v="2024-02-27T00:00:00"/>
        <d v="2024-03-06T00:00:00"/>
        <d v="2024-03-08T00:00:00"/>
        <d v="2024-03-09T00:00:00"/>
        <d v="2024-03-17T00:00:00"/>
        <d v="2024-03-25T00:00:00"/>
        <d v="2024-03-28T00:00:00"/>
        <d v="2024-03-30T00:00:00"/>
        <d v="2024-04-01T00:00:00"/>
        <d v="2024-04-03T00:00:00"/>
        <d v="2024-04-08T00:00:00"/>
        <d v="2024-04-15T00:00:00"/>
        <d v="2024-04-17T00:00:00"/>
        <d v="2024-04-18T00:00:00"/>
        <d v="2024-04-22T00:00:00"/>
        <d v="2024-04-27T00:00:00"/>
        <d v="2024-04-29T00:00:00"/>
        <d v="2024-04-30T00:00:00"/>
        <d v="2024-05-04T00:00:00"/>
        <d v="2024-05-07T00:00:00"/>
        <d v="2024-05-11T00:00:00"/>
        <d v="2024-05-13T00:00:00"/>
        <d v="2024-05-16T00:00:00"/>
        <d v="2024-05-19T00:00:00"/>
        <d v="2024-05-24T00:00:00"/>
        <d v="2024-05-27T00:00:00"/>
        <d v="2024-06-03T00:00:00"/>
        <d v="2024-06-08T00:00:00"/>
        <d v="2024-06-09T00:00:00"/>
        <d v="2024-06-13T00:00:00"/>
        <d v="2024-06-14T00:00:00"/>
        <d v="2024-06-15T00:00:00"/>
        <d v="2024-06-18T00:00:00"/>
        <d v="2024-06-19T00:00:00"/>
        <d v="2024-06-23T00:00:00"/>
        <d v="2024-06-25T00:00:00"/>
        <d v="2024-06-26T00:00:00"/>
        <d v="2024-06-29T00:00:00"/>
        <d v="2024-07-15T00:00:00"/>
        <d v="2024-07-16T00:00:00"/>
        <d v="2024-07-17T00:00:00"/>
        <d v="2024-07-22T00:00:00"/>
        <d v="2024-07-27T00:00:00"/>
        <d v="2024-07-29T00:00:00"/>
        <d v="2024-08-02T00:00:00"/>
        <d v="2024-08-09T00:00:00"/>
        <d v="2024-08-15T00:00:00"/>
        <d v="2024-08-18T00:00:00"/>
        <d v="2024-08-24T00:00:00"/>
        <d v="2024-08-26T00:00:00"/>
        <d v="2024-09-01T00:00:00"/>
        <d v="2024-09-09T00:00:00"/>
        <d v="2024-09-10T00:00:00"/>
        <d v="2024-09-11T00:00:00"/>
        <d v="2024-09-13T00:00:00"/>
        <d v="2024-09-14T00:00:00"/>
        <d v="2024-09-15T00:00:00"/>
        <d v="2024-09-17T00:00:00"/>
        <d v="2024-09-19T00:00:00"/>
        <d v="2024-09-20T00:00:00"/>
        <d v="2024-09-24T00:00:00"/>
        <d v="2024-09-25T00:00:00"/>
        <d v="2024-09-26T00:00:00"/>
        <d v="2024-09-29T00:00:00"/>
        <d v="2024-10-06T00:00:00"/>
        <d v="2024-10-07T00:00:00"/>
        <d v="2024-10-14T00:00:00"/>
        <d v="2024-10-15T00:00:00"/>
        <d v="2024-10-16T00:00:00"/>
        <d v="2024-10-20T00:00:00"/>
        <d v="2024-10-22T00:00:00"/>
        <d v="2024-10-24T00:00:00"/>
        <d v="2024-10-26T00:00:00"/>
        <d v="2024-11-01T00:00:00"/>
        <d v="2024-11-05T00:00:00"/>
        <d v="2024-11-07T00:00:00"/>
        <d v="2024-11-10T00:00:00"/>
        <d v="2024-11-15T00:00:00"/>
        <d v="2024-11-18T00:00:00"/>
        <d v="2024-11-24T00:00:00"/>
        <d v="2024-11-28T00:00:00"/>
        <d v="2024-11-29T00:00:00"/>
        <d v="2024-11-30T00:00:00"/>
        <d v="2024-12-02T00:00:00"/>
        <d v="2024-12-03T00:00:00"/>
        <d v="2024-12-07T00:00:00"/>
        <d v="2024-12-11T00:00:00"/>
        <d v="2024-12-12T00:00:00"/>
        <d v="2024-12-15T00:00:00"/>
        <d v="2024-12-17T00:00:00"/>
        <d v="2024-12-20T00:00:00"/>
        <d v="2024-12-21T00:00:00"/>
        <d v="2024-12-23T00:00:00"/>
        <d v="2024-12-25T00:00:00"/>
        <d v="2024-12-26T00:00:00"/>
        <d v="2024-12-30T00:00:00"/>
        <d v="2025-01-01T00:00:00"/>
        <d v="2025-01-06T00:00:00"/>
        <d v="2025-01-07T00:00:00"/>
        <d v="2025-01-10T00:00:00"/>
        <d v="2025-01-14T00:00:00"/>
        <d v="2025-01-15T00:00:00"/>
        <d v="2025-01-16T00:00:00"/>
        <d v="2025-01-20T00:00:00"/>
        <d v="2025-01-21T00:00:00"/>
        <d v="2025-01-23T00:00:00"/>
        <d v="2025-01-24T00:00:00"/>
        <d v="2025-01-25T00:00:00"/>
        <d v="2025-01-28T00:00:00"/>
        <d v="2025-01-31T00:00:00"/>
        <d v="2025-02-02T00:00:00"/>
        <d v="2025-02-07T00:00:00"/>
        <d v="2025-02-09T00:00:00"/>
        <d v="2025-02-11T00:00:00"/>
        <d v="2025-02-17T00:00:00"/>
        <d v="2025-02-18T00:00:00"/>
        <d v="2025-02-19T00:00:00"/>
        <d v="2025-02-21T00:00:00"/>
        <d v="2025-02-22T00:00:00"/>
        <d v="2025-03-02T00:00:00"/>
        <d v="2025-03-09T00:00:00"/>
        <d v="2025-03-10T00:00:00"/>
        <d v="2025-03-14T00:00:00"/>
        <d v="2025-03-21T00:00:00"/>
        <d v="2025-03-26T00:00:00"/>
        <d v="2025-03-27T00:00:00"/>
        <d v="2025-04-04T00:00:00"/>
        <d v="2025-04-05T00:00:00"/>
        <d v="2025-04-06T00:00:00"/>
        <d v="2025-04-11T00:00:00"/>
        <d v="2025-04-12T00:00:00"/>
        <d v="2025-04-13T00:00:00"/>
        <d v="2025-04-16T00:00:00"/>
        <d v="2025-04-24T00:00:00"/>
        <d v="2025-05-01T00:00:00"/>
        <d v="2025-05-02T00:00:00"/>
        <d v="2025-05-04T00:00:00"/>
        <d v="2025-05-08T00:00:00"/>
        <d v="2025-05-09T00:00:00"/>
        <d v="2025-05-14T00:00:00"/>
        <d v="2025-05-16T00:00:00"/>
        <d v="2025-05-18T00:00:00"/>
        <d v="2025-05-21T00:00:00"/>
        <d v="2025-05-29T00:00:00"/>
        <d v="2025-06-05T00:00:00"/>
        <d v="2025-06-07T00:00:00"/>
        <d v="2025-06-09T00:00:00"/>
        <d v="2025-06-10T00:00:00"/>
        <d v="2025-06-12T00:00:00"/>
        <d v="2025-06-16T00:00:00"/>
        <d v="2025-06-17T00:00:00"/>
        <d v="2025-06-18T00:00:00"/>
        <d v="2025-06-20T00:00:00"/>
        <d v="2025-06-22T00:00:00"/>
        <d v="2025-06-24T00:00:00"/>
        <d v="2025-06-26T00:00:00"/>
        <d v="2025-06-27T00:00:00"/>
        <d v="2025-06-30T00:00:00"/>
        <d v="2025-07-01T00:00:00"/>
        <d v="2025-07-07T00:00:00"/>
        <d v="2025-07-13T00:00:00"/>
        <d v="2025-07-14T00:00:00"/>
        <d v="2025-07-20T00:00:00"/>
        <d v="2025-07-24T00:00:00"/>
        <d v="2025-07-30T00:00:00"/>
        <d v="2025-07-31T00:00:00"/>
        <d v="2025-08-04T00:00:00"/>
        <d v="2025-08-07T00:00:00"/>
        <d v="2025-08-08T00:00:00"/>
        <d v="2025-08-10T00:00:00"/>
        <d v="2025-08-12T00:00:00"/>
        <d v="2025-08-16T00:00:00"/>
        <d v="2025-08-25T00:00:00"/>
        <d v="2025-08-27T00:00:00"/>
        <d v="2025-08-29T00:00:00"/>
        <d v="2025-08-30T00:00:00"/>
        <d v="2025-09-02T00:00:00"/>
        <d v="2025-09-03T00:00:00"/>
        <d v="2025-09-06T00:00:00"/>
        <d v="2025-09-10T00:00:00"/>
        <d v="2025-09-15T00:00:00"/>
        <d v="2025-09-16T00:00:00"/>
        <d v="2025-09-18T00:00:00"/>
        <d v="2025-09-21T00:00:00"/>
        <d v="2025-09-27T00:00:00"/>
        <d v="2025-09-30T00:00:00"/>
        <d v="2025-10-05T00:00:00"/>
        <d v="2025-10-06T00:00:00"/>
        <d v="2025-10-10T00:00:00"/>
        <d v="2025-10-12T00:00:00"/>
        <d v="2025-10-19T00:00:00"/>
        <d v="2025-10-23T00:00:00"/>
        <d v="2025-10-26T00:00:00"/>
        <d v="2025-10-29T00:00:00"/>
        <d v="2025-10-30T00:00:00"/>
        <d v="2025-11-01T00:00:00"/>
        <d v="2025-11-02T00:00:00"/>
        <d v="2025-11-05T00:00:00"/>
        <d v="2025-11-09T00:00:00"/>
        <d v="2025-11-12T00:00:00"/>
        <d v="2025-11-16T00:00:00"/>
        <d v="2025-11-17T00:00:00"/>
        <d v="2025-11-19T00:00:00"/>
        <d v="2025-11-24T00:00:00"/>
        <d v="2025-11-25T00:00:00"/>
        <d v="2025-11-27T00:00:00"/>
        <d v="2025-12-01T00:00:00"/>
        <d v="2025-12-05T00:00:00"/>
        <d v="2025-12-06T00:00:00"/>
        <d v="2025-12-07T00:00:00"/>
        <d v="2025-12-09T00:00:00"/>
        <d v="2025-12-10T00:00:00"/>
        <d v="2025-12-12T00:00:00"/>
        <d v="2025-12-13T00:00:00"/>
        <d v="2025-12-15T00:00:00"/>
        <d v="2025-12-17T00:00:00"/>
        <d v="2025-12-21T00:00:00"/>
        <d v="2025-12-22T00:00:00"/>
        <d v="2025-12-27T00:00:00"/>
        <d v="2025-12-28T00:00:00"/>
      </sharedItems>
      <fieldGroup par="10" base="0">
        <rangePr groupBy="months" startDate="2024-01-09T00:00:00" endDate="2025-12-29T00:00:00"/>
        <groupItems count="14">
          <s v="&lt;1/9/2024"/>
          <s v="Jan"/>
          <s v="Feb"/>
          <s v="Mar"/>
          <s v="Apr"/>
          <s v="May"/>
          <s v="Jun"/>
          <s v="Jul"/>
          <s v="Aug"/>
          <s v="Sep"/>
          <s v="Oct"/>
          <s v="Nov"/>
          <s v="Dec"/>
          <s v="&gt;12/29/2025"/>
        </groupItems>
      </fieldGroup>
    </cacheField>
    <cacheField name="Sales Person" numFmtId="0">
      <sharedItems count="15">
        <s v="Megan"/>
        <s v="Connor"/>
        <s v="Carolyn"/>
        <s v="Daniel"/>
        <s v="Sophia"/>
        <s v="Andrew"/>
        <s v="James"/>
        <s v="Ella"/>
        <s v="Nicholas"/>
        <s v="Cameron"/>
        <s v="Anna"/>
        <s v="Grace"/>
        <s v="Olivia"/>
        <s v="Amelia"/>
        <s v="Virginia"/>
      </sharedItems>
    </cacheField>
    <cacheField name="Region" numFmtId="0">
      <sharedItems count="5">
        <s v="Central"/>
        <s v="West"/>
        <s v="South"/>
        <s v="North"/>
        <s v="East"/>
      </sharedItems>
    </cacheField>
    <cacheField name="Product" numFmtId="0">
      <sharedItems count="10">
        <s v="Blender"/>
        <s v="Smartphone"/>
        <s v="Headphones"/>
        <s v="Novel"/>
        <s v="Action Figure"/>
        <s v="Backpack"/>
        <s v="Sneakers"/>
        <s v="Coffee Maker"/>
        <s v="Moisturizer"/>
        <s v="Tent"/>
      </sharedItems>
    </cacheField>
    <cacheField name="Units Sold" numFmtId="3">
      <sharedItems containsSemiMixedTypes="0" containsString="0" containsNumber="1" containsInteger="1" minValue="20" maxValue="150"/>
    </cacheField>
    <cacheField name="Unit Price" numFmtId="165">
      <sharedItems containsSemiMixedTypes="0" containsString="0" containsNumber="1" containsInteger="1" minValue="550" maxValue="11000"/>
    </cacheField>
    <cacheField name="Cost of Goods" numFmtId="165">
      <sharedItems containsSemiMixedTypes="0" containsString="0" containsNumber="1" containsInteger="1" minValue="400" maxValue="7350"/>
    </cacheField>
    <cacheField name="Total Sales" numFmtId="165">
      <sharedItems containsSemiMixedTypes="0" containsString="0" containsNumber="1" containsInteger="1" minValue="13000" maxValue="1460000"/>
    </cacheField>
    <cacheField name="Profit" numFmtId="165">
      <sharedItems containsSemiMixedTypes="0" containsString="0" containsNumber="1" containsInteger="1" minValue="3300" maxValue="470850"/>
    </cacheField>
    <cacheField name="Quarters" numFmtId="0" databaseField="0">
      <fieldGroup base="0">
        <rangePr groupBy="quarters" startDate="2024-01-09T00:00:00" endDate="2025-12-29T00:00:00"/>
        <groupItems count="6">
          <s v="&lt;1/9/2024"/>
          <s v="Qtr1"/>
          <s v="Qtr2"/>
          <s v="Qtr3"/>
          <s v="Qtr4"/>
          <s v="&gt;12/29/2025"/>
        </groupItems>
      </fieldGroup>
    </cacheField>
    <cacheField name="Years" numFmtId="0" databaseField="0">
      <fieldGroup base="0">
        <rangePr groupBy="years" startDate="2024-01-09T00:00:00" endDate="2025-12-29T00:00:00"/>
        <groupItems count="4">
          <s v="&lt;1/9/2024"/>
          <s v="2024"/>
          <s v="2025"/>
          <s v="&gt;12/29/2025"/>
        </groupItems>
      </fieldGroup>
    </cacheField>
  </cacheFields>
  <extLst>
    <ext xmlns:x14="http://schemas.microsoft.com/office/spreadsheetml/2009/9/main" uri="{725AE2AE-9491-48be-B2B4-4EB974FC3084}">
      <x14:pivotCacheDefinition pivotCacheId="2102376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n v="60"/>
    <n v="3500"/>
    <n v="2650"/>
    <n v="210000"/>
    <n v="51000"/>
  </r>
  <r>
    <x v="1"/>
    <x v="1"/>
    <x v="1"/>
    <x v="0"/>
    <n v="71"/>
    <n v="3500"/>
    <n v="2500"/>
    <n v="248500"/>
    <n v="71000"/>
  </r>
  <r>
    <x v="1"/>
    <x v="2"/>
    <x v="2"/>
    <x v="1"/>
    <n v="103"/>
    <n v="10000"/>
    <n v="7000"/>
    <n v="1030000"/>
    <n v="309000"/>
  </r>
  <r>
    <x v="1"/>
    <x v="2"/>
    <x v="3"/>
    <x v="0"/>
    <n v="32"/>
    <n v="3850"/>
    <n v="2500"/>
    <n v="123200"/>
    <n v="43200"/>
  </r>
  <r>
    <x v="2"/>
    <x v="3"/>
    <x v="0"/>
    <x v="2"/>
    <n v="120"/>
    <n v="3300"/>
    <n v="2000"/>
    <n v="396000"/>
    <n v="156000"/>
  </r>
  <r>
    <x v="3"/>
    <x v="4"/>
    <x v="0"/>
    <x v="2"/>
    <n v="29"/>
    <n v="3150"/>
    <n v="2000"/>
    <n v="91350"/>
    <n v="33350"/>
  </r>
  <r>
    <x v="3"/>
    <x v="5"/>
    <x v="1"/>
    <x v="0"/>
    <n v="113"/>
    <n v="3500"/>
    <n v="2400"/>
    <n v="395500"/>
    <n v="124300"/>
  </r>
  <r>
    <x v="4"/>
    <x v="0"/>
    <x v="4"/>
    <x v="3"/>
    <n v="133"/>
    <n v="1100"/>
    <n v="700"/>
    <n v="146300"/>
    <n v="53200"/>
  </r>
  <r>
    <x v="5"/>
    <x v="6"/>
    <x v="4"/>
    <x v="4"/>
    <n v="44"/>
    <n v="1100"/>
    <n v="800"/>
    <n v="48400"/>
    <n v="13200"/>
  </r>
  <r>
    <x v="6"/>
    <x v="7"/>
    <x v="0"/>
    <x v="5"/>
    <n v="87"/>
    <n v="2500"/>
    <n v="1700"/>
    <n v="217500"/>
    <n v="69600"/>
  </r>
  <r>
    <x v="6"/>
    <x v="8"/>
    <x v="2"/>
    <x v="6"/>
    <n v="88"/>
    <n v="4000"/>
    <n v="2850"/>
    <n v="352000"/>
    <n v="101200"/>
  </r>
  <r>
    <x v="7"/>
    <x v="9"/>
    <x v="1"/>
    <x v="7"/>
    <n v="73"/>
    <n v="4750"/>
    <n v="3200"/>
    <n v="346750"/>
    <n v="113150"/>
  </r>
  <r>
    <x v="8"/>
    <x v="5"/>
    <x v="0"/>
    <x v="3"/>
    <n v="63"/>
    <n v="950"/>
    <n v="700"/>
    <n v="59850"/>
    <n v="15750"/>
  </r>
  <r>
    <x v="9"/>
    <x v="6"/>
    <x v="3"/>
    <x v="8"/>
    <n v="120"/>
    <n v="550"/>
    <n v="400"/>
    <n v="66000"/>
    <n v="18000"/>
  </r>
  <r>
    <x v="10"/>
    <x v="10"/>
    <x v="2"/>
    <x v="0"/>
    <n v="60"/>
    <n v="3700"/>
    <n v="2500"/>
    <n v="222000"/>
    <n v="72000"/>
  </r>
  <r>
    <x v="11"/>
    <x v="8"/>
    <x v="2"/>
    <x v="7"/>
    <n v="128"/>
    <n v="4950"/>
    <n v="3200"/>
    <n v="633600"/>
    <n v="224000"/>
  </r>
  <r>
    <x v="12"/>
    <x v="1"/>
    <x v="1"/>
    <x v="9"/>
    <n v="55"/>
    <n v="6000"/>
    <n v="4200"/>
    <n v="330000"/>
    <n v="99000"/>
  </r>
  <r>
    <x v="13"/>
    <x v="4"/>
    <x v="1"/>
    <x v="1"/>
    <n v="104"/>
    <n v="10000"/>
    <n v="7000"/>
    <n v="1040000"/>
    <n v="312000"/>
  </r>
  <r>
    <x v="14"/>
    <x v="8"/>
    <x v="0"/>
    <x v="5"/>
    <n v="77"/>
    <n v="2500"/>
    <n v="1600"/>
    <n v="192500"/>
    <n v="69300"/>
  </r>
  <r>
    <x v="14"/>
    <x v="2"/>
    <x v="1"/>
    <x v="6"/>
    <n v="70"/>
    <n v="4400"/>
    <n v="2850"/>
    <n v="308000"/>
    <n v="108500"/>
  </r>
  <r>
    <x v="15"/>
    <x v="3"/>
    <x v="1"/>
    <x v="1"/>
    <n v="27"/>
    <n v="10000"/>
    <n v="7350"/>
    <n v="270000"/>
    <n v="71550"/>
  </r>
  <r>
    <x v="15"/>
    <x v="1"/>
    <x v="0"/>
    <x v="2"/>
    <n v="103"/>
    <n v="3000"/>
    <n v="2100"/>
    <n v="309000"/>
    <n v="92700"/>
  </r>
  <r>
    <x v="16"/>
    <x v="11"/>
    <x v="3"/>
    <x v="4"/>
    <n v="127"/>
    <n v="1200"/>
    <n v="850"/>
    <n v="152400"/>
    <n v="44450"/>
  </r>
  <r>
    <x v="17"/>
    <x v="11"/>
    <x v="1"/>
    <x v="6"/>
    <n v="97"/>
    <n v="4000"/>
    <n v="3000"/>
    <n v="388000"/>
    <n v="97000"/>
  </r>
  <r>
    <x v="18"/>
    <x v="0"/>
    <x v="0"/>
    <x v="9"/>
    <n v="71"/>
    <n v="6000"/>
    <n v="4000"/>
    <n v="426000"/>
    <n v="142000"/>
  </r>
  <r>
    <x v="19"/>
    <x v="2"/>
    <x v="1"/>
    <x v="9"/>
    <n v="82"/>
    <n v="6000"/>
    <n v="4000"/>
    <n v="492000"/>
    <n v="164000"/>
  </r>
  <r>
    <x v="20"/>
    <x v="12"/>
    <x v="3"/>
    <x v="7"/>
    <n v="119"/>
    <n v="4950"/>
    <n v="3200"/>
    <n v="589050"/>
    <n v="208250"/>
  </r>
  <r>
    <x v="20"/>
    <x v="8"/>
    <x v="2"/>
    <x v="9"/>
    <n v="59"/>
    <n v="6300"/>
    <n v="4200"/>
    <n v="371700"/>
    <n v="123900"/>
  </r>
  <r>
    <x v="21"/>
    <x v="12"/>
    <x v="0"/>
    <x v="9"/>
    <n v="97"/>
    <n v="5400"/>
    <n v="4000"/>
    <n v="523800"/>
    <n v="135800"/>
  </r>
  <r>
    <x v="22"/>
    <x v="5"/>
    <x v="0"/>
    <x v="1"/>
    <n v="45"/>
    <n v="10000"/>
    <n v="7000"/>
    <n v="450000"/>
    <n v="135000"/>
  </r>
  <r>
    <x v="23"/>
    <x v="8"/>
    <x v="1"/>
    <x v="4"/>
    <n v="71"/>
    <n v="1100"/>
    <n v="850"/>
    <n v="78100"/>
    <n v="17750"/>
  </r>
  <r>
    <x v="24"/>
    <x v="1"/>
    <x v="2"/>
    <x v="6"/>
    <n v="149"/>
    <n v="4400"/>
    <n v="3150"/>
    <n v="655600"/>
    <n v="186250"/>
  </r>
  <r>
    <x v="24"/>
    <x v="13"/>
    <x v="3"/>
    <x v="4"/>
    <n v="141"/>
    <n v="1200"/>
    <n v="850"/>
    <n v="169200"/>
    <n v="49350"/>
  </r>
  <r>
    <x v="25"/>
    <x v="1"/>
    <x v="1"/>
    <x v="6"/>
    <n v="26"/>
    <n v="4000"/>
    <n v="3000"/>
    <n v="104000"/>
    <n v="26000"/>
  </r>
  <r>
    <x v="26"/>
    <x v="3"/>
    <x v="4"/>
    <x v="5"/>
    <n v="137"/>
    <n v="2500"/>
    <n v="1600"/>
    <n v="342500"/>
    <n v="123300"/>
  </r>
  <r>
    <x v="27"/>
    <x v="8"/>
    <x v="2"/>
    <x v="6"/>
    <n v="65"/>
    <n v="4200"/>
    <n v="3000"/>
    <n v="273000"/>
    <n v="78000"/>
  </r>
  <r>
    <x v="28"/>
    <x v="13"/>
    <x v="4"/>
    <x v="9"/>
    <n v="56"/>
    <n v="5700"/>
    <n v="3800"/>
    <n v="319200"/>
    <n v="106400"/>
  </r>
  <r>
    <x v="29"/>
    <x v="3"/>
    <x v="2"/>
    <x v="2"/>
    <n v="33"/>
    <n v="3000"/>
    <n v="2200"/>
    <n v="99000"/>
    <n v="26400"/>
  </r>
  <r>
    <x v="29"/>
    <x v="3"/>
    <x v="4"/>
    <x v="9"/>
    <n v="34"/>
    <n v="5700"/>
    <n v="4200"/>
    <n v="193800"/>
    <n v="51000"/>
  </r>
  <r>
    <x v="30"/>
    <x v="6"/>
    <x v="2"/>
    <x v="9"/>
    <n v="95"/>
    <n v="6000"/>
    <n v="4000"/>
    <n v="570000"/>
    <n v="190000"/>
  </r>
  <r>
    <x v="31"/>
    <x v="5"/>
    <x v="1"/>
    <x v="8"/>
    <n v="74"/>
    <n v="650"/>
    <n v="400"/>
    <n v="48100"/>
    <n v="18500"/>
  </r>
  <r>
    <x v="32"/>
    <x v="10"/>
    <x v="3"/>
    <x v="0"/>
    <n v="143"/>
    <n v="3500"/>
    <n v="2400"/>
    <n v="500500"/>
    <n v="157300"/>
  </r>
  <r>
    <x v="33"/>
    <x v="6"/>
    <x v="2"/>
    <x v="6"/>
    <n v="119"/>
    <n v="4400"/>
    <n v="2850"/>
    <n v="523600"/>
    <n v="184450"/>
  </r>
  <r>
    <x v="34"/>
    <x v="7"/>
    <x v="4"/>
    <x v="7"/>
    <n v="83"/>
    <n v="4750"/>
    <n v="3200"/>
    <n v="394250"/>
    <n v="128650"/>
  </r>
  <r>
    <x v="34"/>
    <x v="7"/>
    <x v="3"/>
    <x v="7"/>
    <n v="122"/>
    <n v="4300"/>
    <n v="3200"/>
    <n v="524600"/>
    <n v="134200"/>
  </r>
  <r>
    <x v="34"/>
    <x v="3"/>
    <x v="2"/>
    <x v="3"/>
    <n v="66"/>
    <n v="1050"/>
    <n v="700"/>
    <n v="69300"/>
    <n v="23100"/>
  </r>
  <r>
    <x v="35"/>
    <x v="12"/>
    <x v="0"/>
    <x v="7"/>
    <n v="28"/>
    <n v="4300"/>
    <n v="3050"/>
    <n v="120400"/>
    <n v="35000"/>
  </r>
  <r>
    <x v="36"/>
    <x v="5"/>
    <x v="1"/>
    <x v="4"/>
    <n v="95"/>
    <n v="1100"/>
    <n v="800"/>
    <n v="104500"/>
    <n v="28500"/>
  </r>
  <r>
    <x v="36"/>
    <x v="3"/>
    <x v="2"/>
    <x v="3"/>
    <n v="79"/>
    <n v="1100"/>
    <n v="750"/>
    <n v="86900"/>
    <n v="27650"/>
  </r>
  <r>
    <x v="37"/>
    <x v="4"/>
    <x v="2"/>
    <x v="2"/>
    <n v="80"/>
    <n v="3000"/>
    <n v="2100"/>
    <n v="240000"/>
    <n v="72000"/>
  </r>
  <r>
    <x v="38"/>
    <x v="9"/>
    <x v="2"/>
    <x v="5"/>
    <n v="39"/>
    <n v="2500"/>
    <n v="1600"/>
    <n v="97500"/>
    <n v="35100"/>
  </r>
  <r>
    <x v="39"/>
    <x v="0"/>
    <x v="0"/>
    <x v="3"/>
    <n v="55"/>
    <n v="1000"/>
    <n v="650"/>
    <n v="55000"/>
    <n v="19250"/>
  </r>
  <r>
    <x v="39"/>
    <x v="10"/>
    <x v="3"/>
    <x v="9"/>
    <n v="57"/>
    <n v="5700"/>
    <n v="4000"/>
    <n v="324900"/>
    <n v="96900"/>
  </r>
  <r>
    <x v="40"/>
    <x v="3"/>
    <x v="2"/>
    <x v="9"/>
    <n v="39"/>
    <n v="6000"/>
    <n v="3800"/>
    <n v="234000"/>
    <n v="85800"/>
  </r>
  <r>
    <x v="41"/>
    <x v="5"/>
    <x v="0"/>
    <x v="4"/>
    <n v="20"/>
    <n v="1200"/>
    <n v="800"/>
    <n v="24000"/>
    <n v="8000"/>
  </r>
  <r>
    <x v="42"/>
    <x v="9"/>
    <x v="3"/>
    <x v="9"/>
    <n v="86"/>
    <n v="5700"/>
    <n v="4200"/>
    <n v="490200"/>
    <n v="129000"/>
  </r>
  <r>
    <x v="43"/>
    <x v="10"/>
    <x v="2"/>
    <x v="9"/>
    <n v="65"/>
    <n v="6300"/>
    <n v="4200"/>
    <n v="409500"/>
    <n v="136500"/>
  </r>
  <r>
    <x v="43"/>
    <x v="9"/>
    <x v="2"/>
    <x v="3"/>
    <n v="31"/>
    <n v="1000"/>
    <n v="700"/>
    <n v="31000"/>
    <n v="9300"/>
  </r>
  <r>
    <x v="43"/>
    <x v="9"/>
    <x v="3"/>
    <x v="4"/>
    <n v="93"/>
    <n v="1150"/>
    <n v="800"/>
    <n v="106950"/>
    <n v="32550"/>
  </r>
  <r>
    <x v="44"/>
    <x v="4"/>
    <x v="0"/>
    <x v="5"/>
    <n v="71"/>
    <n v="2500"/>
    <n v="1600"/>
    <n v="177500"/>
    <n v="63900"/>
  </r>
  <r>
    <x v="45"/>
    <x v="7"/>
    <x v="0"/>
    <x v="8"/>
    <n v="29"/>
    <n v="550"/>
    <n v="400"/>
    <n v="15950"/>
    <n v="4350"/>
  </r>
  <r>
    <x v="45"/>
    <x v="3"/>
    <x v="1"/>
    <x v="7"/>
    <n v="95"/>
    <n v="4500"/>
    <n v="3050"/>
    <n v="427500"/>
    <n v="137750"/>
  </r>
  <r>
    <x v="46"/>
    <x v="9"/>
    <x v="4"/>
    <x v="5"/>
    <n v="64"/>
    <n v="2250"/>
    <n v="1600"/>
    <n v="144000"/>
    <n v="41600"/>
  </r>
  <r>
    <x v="47"/>
    <x v="8"/>
    <x v="1"/>
    <x v="1"/>
    <n v="24"/>
    <n v="9000"/>
    <n v="7350"/>
    <n v="216000"/>
    <n v="39600"/>
  </r>
  <r>
    <x v="48"/>
    <x v="1"/>
    <x v="1"/>
    <x v="6"/>
    <n v="128"/>
    <n v="4000"/>
    <n v="2850"/>
    <n v="512000"/>
    <n v="147200"/>
  </r>
  <r>
    <x v="49"/>
    <x v="9"/>
    <x v="1"/>
    <x v="6"/>
    <n v="47"/>
    <n v="4000"/>
    <n v="3150"/>
    <n v="188000"/>
    <n v="39950"/>
  </r>
  <r>
    <x v="50"/>
    <x v="2"/>
    <x v="4"/>
    <x v="9"/>
    <n v="111"/>
    <n v="5400"/>
    <n v="4200"/>
    <n v="599400"/>
    <n v="133200"/>
  </r>
  <r>
    <x v="51"/>
    <x v="14"/>
    <x v="3"/>
    <x v="9"/>
    <n v="32"/>
    <n v="6000"/>
    <n v="4000"/>
    <n v="192000"/>
    <n v="64000"/>
  </r>
  <r>
    <x v="52"/>
    <x v="12"/>
    <x v="4"/>
    <x v="1"/>
    <n v="29"/>
    <n v="11000"/>
    <n v="7000"/>
    <n v="319000"/>
    <n v="116000"/>
  </r>
  <r>
    <x v="53"/>
    <x v="4"/>
    <x v="0"/>
    <x v="5"/>
    <n v="145"/>
    <n v="2500"/>
    <n v="1700"/>
    <n v="362500"/>
    <n v="116000"/>
  </r>
  <r>
    <x v="54"/>
    <x v="11"/>
    <x v="4"/>
    <x v="6"/>
    <n v="62"/>
    <n v="4200"/>
    <n v="3000"/>
    <n v="260400"/>
    <n v="74400"/>
  </r>
  <r>
    <x v="55"/>
    <x v="7"/>
    <x v="4"/>
    <x v="0"/>
    <n v="58"/>
    <n v="3350"/>
    <n v="2500"/>
    <n v="194300"/>
    <n v="49300"/>
  </r>
  <r>
    <x v="56"/>
    <x v="3"/>
    <x v="1"/>
    <x v="9"/>
    <n v="20"/>
    <n v="6300"/>
    <n v="4000"/>
    <n v="126000"/>
    <n v="46000"/>
  </r>
  <r>
    <x v="57"/>
    <x v="0"/>
    <x v="0"/>
    <x v="5"/>
    <n v="122"/>
    <n v="2500"/>
    <n v="1600"/>
    <n v="305000"/>
    <n v="109800"/>
  </r>
  <r>
    <x v="57"/>
    <x v="1"/>
    <x v="4"/>
    <x v="8"/>
    <n v="39"/>
    <n v="550"/>
    <n v="400"/>
    <n v="21450"/>
    <n v="5850"/>
  </r>
  <r>
    <x v="58"/>
    <x v="9"/>
    <x v="1"/>
    <x v="6"/>
    <n v="51"/>
    <n v="4000"/>
    <n v="3000"/>
    <n v="204000"/>
    <n v="51000"/>
  </r>
  <r>
    <x v="59"/>
    <x v="13"/>
    <x v="2"/>
    <x v="0"/>
    <n v="103"/>
    <n v="3500"/>
    <n v="2500"/>
    <n v="360500"/>
    <n v="103000"/>
  </r>
  <r>
    <x v="60"/>
    <x v="1"/>
    <x v="2"/>
    <x v="4"/>
    <n v="60"/>
    <n v="1200"/>
    <n v="750"/>
    <n v="72000"/>
    <n v="27000"/>
  </r>
  <r>
    <x v="61"/>
    <x v="7"/>
    <x v="2"/>
    <x v="0"/>
    <n v="73"/>
    <n v="3700"/>
    <n v="2500"/>
    <n v="270100"/>
    <n v="87600"/>
  </r>
  <r>
    <x v="61"/>
    <x v="14"/>
    <x v="3"/>
    <x v="4"/>
    <n v="59"/>
    <n v="1250"/>
    <n v="750"/>
    <n v="73750"/>
    <n v="29500"/>
  </r>
  <r>
    <x v="62"/>
    <x v="13"/>
    <x v="3"/>
    <x v="3"/>
    <n v="124"/>
    <n v="1000"/>
    <n v="700"/>
    <n v="124000"/>
    <n v="37200"/>
  </r>
  <r>
    <x v="63"/>
    <x v="2"/>
    <x v="4"/>
    <x v="7"/>
    <n v="65"/>
    <n v="4050"/>
    <n v="3200"/>
    <n v="263250"/>
    <n v="55250"/>
  </r>
  <r>
    <x v="64"/>
    <x v="3"/>
    <x v="0"/>
    <x v="4"/>
    <n v="20"/>
    <n v="1300"/>
    <n v="800"/>
    <n v="26000"/>
    <n v="10000"/>
  </r>
  <r>
    <x v="65"/>
    <x v="5"/>
    <x v="1"/>
    <x v="4"/>
    <n v="37"/>
    <n v="1150"/>
    <n v="800"/>
    <n v="42550"/>
    <n v="12950"/>
  </r>
  <r>
    <x v="66"/>
    <x v="0"/>
    <x v="0"/>
    <x v="5"/>
    <n v="140"/>
    <n v="2500"/>
    <n v="1500"/>
    <n v="350000"/>
    <n v="140000"/>
  </r>
  <r>
    <x v="67"/>
    <x v="4"/>
    <x v="4"/>
    <x v="7"/>
    <n v="60"/>
    <n v="4950"/>
    <n v="3200"/>
    <n v="297000"/>
    <n v="105000"/>
  </r>
  <r>
    <x v="67"/>
    <x v="6"/>
    <x v="0"/>
    <x v="0"/>
    <n v="50"/>
    <n v="3700"/>
    <n v="2650"/>
    <n v="185000"/>
    <n v="52500"/>
  </r>
  <r>
    <x v="68"/>
    <x v="1"/>
    <x v="2"/>
    <x v="7"/>
    <n v="50"/>
    <n v="4050"/>
    <n v="3350"/>
    <n v="202500"/>
    <n v="35000"/>
  </r>
  <r>
    <x v="69"/>
    <x v="7"/>
    <x v="4"/>
    <x v="8"/>
    <n v="114"/>
    <n v="600"/>
    <n v="400"/>
    <n v="68400"/>
    <n v="22800"/>
  </r>
  <r>
    <x v="70"/>
    <x v="14"/>
    <x v="4"/>
    <x v="1"/>
    <n v="142"/>
    <n v="9000"/>
    <n v="6650"/>
    <n v="1278000"/>
    <n v="333700"/>
  </r>
  <r>
    <x v="71"/>
    <x v="3"/>
    <x v="2"/>
    <x v="6"/>
    <n v="52"/>
    <n v="4000"/>
    <n v="2850"/>
    <n v="208000"/>
    <n v="59800"/>
  </r>
  <r>
    <x v="71"/>
    <x v="2"/>
    <x v="0"/>
    <x v="7"/>
    <n v="55"/>
    <n v="4500"/>
    <n v="3050"/>
    <n v="247500"/>
    <n v="79750"/>
  </r>
  <r>
    <x v="71"/>
    <x v="4"/>
    <x v="2"/>
    <x v="6"/>
    <n v="148"/>
    <n v="4400"/>
    <n v="3150"/>
    <n v="651200"/>
    <n v="185000"/>
  </r>
  <r>
    <x v="72"/>
    <x v="7"/>
    <x v="0"/>
    <x v="5"/>
    <n v="80"/>
    <n v="2400"/>
    <n v="1500"/>
    <n v="192000"/>
    <n v="72000"/>
  </r>
  <r>
    <x v="73"/>
    <x v="7"/>
    <x v="0"/>
    <x v="5"/>
    <n v="55"/>
    <n v="2650"/>
    <n v="1500"/>
    <n v="145750"/>
    <n v="63250"/>
  </r>
  <r>
    <x v="74"/>
    <x v="13"/>
    <x v="4"/>
    <x v="0"/>
    <n v="73"/>
    <n v="3150"/>
    <n v="2500"/>
    <n v="229950"/>
    <n v="47450"/>
  </r>
  <r>
    <x v="75"/>
    <x v="5"/>
    <x v="3"/>
    <x v="5"/>
    <n v="60"/>
    <n v="2250"/>
    <n v="1600"/>
    <n v="135000"/>
    <n v="39000"/>
  </r>
  <r>
    <x v="76"/>
    <x v="1"/>
    <x v="4"/>
    <x v="1"/>
    <n v="72"/>
    <n v="10000"/>
    <n v="7000"/>
    <n v="720000"/>
    <n v="216000"/>
  </r>
  <r>
    <x v="77"/>
    <x v="4"/>
    <x v="1"/>
    <x v="7"/>
    <n v="41"/>
    <n v="4500"/>
    <n v="3200"/>
    <n v="184500"/>
    <n v="53300"/>
  </r>
  <r>
    <x v="78"/>
    <x v="13"/>
    <x v="2"/>
    <x v="3"/>
    <n v="114"/>
    <n v="950"/>
    <n v="700"/>
    <n v="108300"/>
    <n v="28500"/>
  </r>
  <r>
    <x v="79"/>
    <x v="3"/>
    <x v="0"/>
    <x v="9"/>
    <n v="45"/>
    <n v="6300"/>
    <n v="4200"/>
    <n v="283500"/>
    <n v="94500"/>
  </r>
  <r>
    <x v="80"/>
    <x v="8"/>
    <x v="4"/>
    <x v="6"/>
    <n v="97"/>
    <n v="4000"/>
    <n v="3000"/>
    <n v="388000"/>
    <n v="97000"/>
  </r>
  <r>
    <x v="81"/>
    <x v="14"/>
    <x v="3"/>
    <x v="2"/>
    <n v="108"/>
    <n v="3150"/>
    <n v="2000"/>
    <n v="340200"/>
    <n v="124200"/>
  </r>
  <r>
    <x v="82"/>
    <x v="4"/>
    <x v="0"/>
    <x v="0"/>
    <n v="85"/>
    <n v="3700"/>
    <n v="2500"/>
    <n v="314500"/>
    <n v="102000"/>
  </r>
  <r>
    <x v="83"/>
    <x v="8"/>
    <x v="4"/>
    <x v="3"/>
    <n v="86"/>
    <n v="1000"/>
    <n v="700"/>
    <n v="86000"/>
    <n v="25800"/>
  </r>
  <r>
    <x v="84"/>
    <x v="11"/>
    <x v="1"/>
    <x v="0"/>
    <n v="138"/>
    <n v="3500"/>
    <n v="2500"/>
    <n v="483000"/>
    <n v="138000"/>
  </r>
  <r>
    <x v="85"/>
    <x v="3"/>
    <x v="3"/>
    <x v="6"/>
    <n v="97"/>
    <n v="4200"/>
    <n v="3000"/>
    <n v="407400"/>
    <n v="116400"/>
  </r>
  <r>
    <x v="86"/>
    <x v="1"/>
    <x v="0"/>
    <x v="0"/>
    <n v="97"/>
    <n v="3500"/>
    <n v="2500"/>
    <n v="339500"/>
    <n v="97000"/>
  </r>
  <r>
    <x v="87"/>
    <x v="11"/>
    <x v="3"/>
    <x v="5"/>
    <n v="76"/>
    <n v="2400"/>
    <n v="1600"/>
    <n v="182400"/>
    <n v="60800"/>
  </r>
  <r>
    <x v="88"/>
    <x v="9"/>
    <x v="4"/>
    <x v="3"/>
    <n v="88"/>
    <n v="950"/>
    <n v="700"/>
    <n v="83600"/>
    <n v="22000"/>
  </r>
  <r>
    <x v="89"/>
    <x v="3"/>
    <x v="3"/>
    <x v="8"/>
    <n v="51"/>
    <n v="600"/>
    <n v="400"/>
    <n v="30600"/>
    <n v="10200"/>
  </r>
  <r>
    <x v="90"/>
    <x v="10"/>
    <x v="2"/>
    <x v="4"/>
    <n v="42"/>
    <n v="1250"/>
    <n v="800"/>
    <n v="52500"/>
    <n v="18900"/>
  </r>
  <r>
    <x v="90"/>
    <x v="5"/>
    <x v="1"/>
    <x v="0"/>
    <n v="134"/>
    <n v="3850"/>
    <n v="2650"/>
    <n v="515900"/>
    <n v="160800"/>
  </r>
  <r>
    <x v="91"/>
    <x v="11"/>
    <x v="4"/>
    <x v="4"/>
    <n v="62"/>
    <n v="1300"/>
    <n v="800"/>
    <n v="80600"/>
    <n v="31000"/>
  </r>
  <r>
    <x v="92"/>
    <x v="0"/>
    <x v="1"/>
    <x v="1"/>
    <n v="22"/>
    <n v="10500"/>
    <n v="7000"/>
    <n v="231000"/>
    <n v="77000"/>
  </r>
  <r>
    <x v="93"/>
    <x v="5"/>
    <x v="3"/>
    <x v="4"/>
    <n v="123"/>
    <n v="1150"/>
    <n v="800"/>
    <n v="141450"/>
    <n v="43050"/>
  </r>
  <r>
    <x v="94"/>
    <x v="6"/>
    <x v="1"/>
    <x v="7"/>
    <n v="30"/>
    <n v="4300"/>
    <n v="3050"/>
    <n v="129000"/>
    <n v="37500"/>
  </r>
  <r>
    <x v="95"/>
    <x v="0"/>
    <x v="3"/>
    <x v="8"/>
    <n v="72"/>
    <n v="650"/>
    <n v="400"/>
    <n v="46800"/>
    <n v="18000"/>
  </r>
  <r>
    <x v="95"/>
    <x v="7"/>
    <x v="1"/>
    <x v="5"/>
    <n v="46"/>
    <n v="2750"/>
    <n v="1600"/>
    <n v="126500"/>
    <n v="52900"/>
  </r>
  <r>
    <x v="96"/>
    <x v="0"/>
    <x v="0"/>
    <x v="2"/>
    <n v="77"/>
    <n v="2850"/>
    <n v="2200"/>
    <n v="219450"/>
    <n v="50050"/>
  </r>
  <r>
    <x v="97"/>
    <x v="9"/>
    <x v="2"/>
    <x v="2"/>
    <n v="128"/>
    <n v="3000"/>
    <n v="2200"/>
    <n v="384000"/>
    <n v="102400"/>
  </r>
  <r>
    <x v="97"/>
    <x v="4"/>
    <x v="1"/>
    <x v="7"/>
    <n v="62"/>
    <n v="4950"/>
    <n v="3200"/>
    <n v="306900"/>
    <n v="108500"/>
  </r>
  <r>
    <x v="98"/>
    <x v="5"/>
    <x v="4"/>
    <x v="2"/>
    <n v="77"/>
    <n v="3000"/>
    <n v="2100"/>
    <n v="231000"/>
    <n v="69300"/>
  </r>
  <r>
    <x v="99"/>
    <x v="8"/>
    <x v="3"/>
    <x v="1"/>
    <n v="21"/>
    <n v="10000"/>
    <n v="7000"/>
    <n v="210000"/>
    <n v="63000"/>
  </r>
  <r>
    <x v="100"/>
    <x v="10"/>
    <x v="1"/>
    <x v="8"/>
    <n v="118"/>
    <n v="550"/>
    <n v="400"/>
    <n v="64900"/>
    <n v="17700"/>
  </r>
  <r>
    <x v="101"/>
    <x v="2"/>
    <x v="4"/>
    <x v="4"/>
    <n v="36"/>
    <n v="1250"/>
    <n v="850"/>
    <n v="45000"/>
    <n v="14400"/>
  </r>
  <r>
    <x v="102"/>
    <x v="9"/>
    <x v="2"/>
    <x v="9"/>
    <n v="36"/>
    <n v="6300"/>
    <n v="4200"/>
    <n v="226800"/>
    <n v="75600"/>
  </r>
  <r>
    <x v="103"/>
    <x v="12"/>
    <x v="4"/>
    <x v="4"/>
    <n v="100"/>
    <n v="1200"/>
    <n v="800"/>
    <n v="120000"/>
    <n v="40000"/>
  </r>
  <r>
    <x v="103"/>
    <x v="7"/>
    <x v="2"/>
    <x v="4"/>
    <n v="141"/>
    <n v="1250"/>
    <n v="800"/>
    <n v="176250"/>
    <n v="63450"/>
  </r>
  <r>
    <x v="103"/>
    <x v="8"/>
    <x v="1"/>
    <x v="2"/>
    <n v="136"/>
    <n v="3000"/>
    <n v="2100"/>
    <n v="408000"/>
    <n v="122400"/>
  </r>
  <r>
    <x v="104"/>
    <x v="7"/>
    <x v="0"/>
    <x v="7"/>
    <n v="140"/>
    <n v="4950"/>
    <n v="3050"/>
    <n v="693000"/>
    <n v="266000"/>
  </r>
  <r>
    <x v="105"/>
    <x v="10"/>
    <x v="0"/>
    <x v="3"/>
    <n v="149"/>
    <n v="1000"/>
    <n v="750"/>
    <n v="149000"/>
    <n v="37250"/>
  </r>
  <r>
    <x v="105"/>
    <x v="2"/>
    <x v="4"/>
    <x v="5"/>
    <n v="51"/>
    <n v="2500"/>
    <n v="1600"/>
    <n v="127500"/>
    <n v="45900"/>
  </r>
  <r>
    <x v="106"/>
    <x v="8"/>
    <x v="2"/>
    <x v="5"/>
    <n v="58"/>
    <n v="2250"/>
    <n v="1600"/>
    <n v="130500"/>
    <n v="37700"/>
  </r>
  <r>
    <x v="107"/>
    <x v="14"/>
    <x v="2"/>
    <x v="8"/>
    <n v="27"/>
    <n v="650"/>
    <n v="400"/>
    <n v="17550"/>
    <n v="6750"/>
  </r>
  <r>
    <x v="108"/>
    <x v="10"/>
    <x v="3"/>
    <x v="5"/>
    <n v="25"/>
    <n v="2250"/>
    <n v="1600"/>
    <n v="56250"/>
    <n v="16250"/>
  </r>
  <r>
    <x v="109"/>
    <x v="9"/>
    <x v="1"/>
    <x v="5"/>
    <n v="82"/>
    <n v="2250"/>
    <n v="1500"/>
    <n v="184500"/>
    <n v="61500"/>
  </r>
  <r>
    <x v="109"/>
    <x v="11"/>
    <x v="4"/>
    <x v="6"/>
    <n v="113"/>
    <n v="3800"/>
    <n v="3150"/>
    <n v="429400"/>
    <n v="73450"/>
  </r>
  <r>
    <x v="110"/>
    <x v="12"/>
    <x v="1"/>
    <x v="6"/>
    <n v="65"/>
    <n v="3800"/>
    <n v="3150"/>
    <n v="247000"/>
    <n v="42250"/>
  </r>
  <r>
    <x v="110"/>
    <x v="5"/>
    <x v="1"/>
    <x v="4"/>
    <n v="50"/>
    <n v="1100"/>
    <n v="850"/>
    <n v="55000"/>
    <n v="12500"/>
  </r>
  <r>
    <x v="111"/>
    <x v="3"/>
    <x v="0"/>
    <x v="5"/>
    <n v="137"/>
    <n v="2250"/>
    <n v="1600"/>
    <n v="308250"/>
    <n v="89050"/>
  </r>
  <r>
    <x v="112"/>
    <x v="5"/>
    <x v="2"/>
    <x v="7"/>
    <n v="55"/>
    <n v="4950"/>
    <n v="3350"/>
    <n v="272250"/>
    <n v="88000"/>
  </r>
  <r>
    <x v="112"/>
    <x v="14"/>
    <x v="1"/>
    <x v="8"/>
    <n v="26"/>
    <n v="650"/>
    <n v="400"/>
    <n v="16900"/>
    <n v="6500"/>
  </r>
  <r>
    <x v="113"/>
    <x v="6"/>
    <x v="3"/>
    <x v="5"/>
    <n v="72"/>
    <n v="2750"/>
    <n v="1600"/>
    <n v="198000"/>
    <n v="82800"/>
  </r>
  <r>
    <x v="114"/>
    <x v="12"/>
    <x v="3"/>
    <x v="7"/>
    <n v="41"/>
    <n v="4500"/>
    <n v="3200"/>
    <n v="184500"/>
    <n v="53300"/>
  </r>
  <r>
    <x v="115"/>
    <x v="7"/>
    <x v="0"/>
    <x v="4"/>
    <n v="122"/>
    <n v="1300"/>
    <n v="800"/>
    <n v="158600"/>
    <n v="61000"/>
  </r>
  <r>
    <x v="116"/>
    <x v="3"/>
    <x v="4"/>
    <x v="0"/>
    <n v="138"/>
    <n v="3700"/>
    <n v="2500"/>
    <n v="510600"/>
    <n v="165600"/>
  </r>
  <r>
    <x v="116"/>
    <x v="7"/>
    <x v="2"/>
    <x v="4"/>
    <n v="53"/>
    <n v="1250"/>
    <n v="750"/>
    <n v="66250"/>
    <n v="26500"/>
  </r>
  <r>
    <x v="117"/>
    <x v="3"/>
    <x v="4"/>
    <x v="4"/>
    <n v="51"/>
    <n v="1300"/>
    <n v="850"/>
    <n v="66300"/>
    <n v="22950"/>
  </r>
  <r>
    <x v="117"/>
    <x v="11"/>
    <x v="0"/>
    <x v="4"/>
    <n v="62"/>
    <n v="1200"/>
    <n v="800"/>
    <n v="74400"/>
    <n v="24800"/>
  </r>
  <r>
    <x v="118"/>
    <x v="5"/>
    <x v="0"/>
    <x v="6"/>
    <n v="91"/>
    <n v="4000"/>
    <n v="3000"/>
    <n v="364000"/>
    <n v="91000"/>
  </r>
  <r>
    <x v="119"/>
    <x v="4"/>
    <x v="0"/>
    <x v="6"/>
    <n v="92"/>
    <n v="4400"/>
    <n v="3000"/>
    <n v="404800"/>
    <n v="128800"/>
  </r>
  <r>
    <x v="120"/>
    <x v="10"/>
    <x v="1"/>
    <x v="2"/>
    <n v="97"/>
    <n v="2700"/>
    <n v="2100"/>
    <n v="261900"/>
    <n v="58200"/>
  </r>
  <r>
    <x v="121"/>
    <x v="1"/>
    <x v="0"/>
    <x v="8"/>
    <n v="25"/>
    <n v="600"/>
    <n v="400"/>
    <n v="15000"/>
    <n v="5000"/>
  </r>
  <r>
    <x v="122"/>
    <x v="10"/>
    <x v="3"/>
    <x v="8"/>
    <n v="127"/>
    <n v="600"/>
    <n v="400"/>
    <n v="76200"/>
    <n v="25400"/>
  </r>
  <r>
    <x v="123"/>
    <x v="10"/>
    <x v="0"/>
    <x v="5"/>
    <n v="23"/>
    <n v="2250"/>
    <n v="1500"/>
    <n v="51750"/>
    <n v="17250"/>
  </r>
  <r>
    <x v="123"/>
    <x v="0"/>
    <x v="4"/>
    <x v="3"/>
    <n v="22"/>
    <n v="900"/>
    <n v="750"/>
    <n v="19800"/>
    <n v="3300"/>
  </r>
  <r>
    <x v="124"/>
    <x v="7"/>
    <x v="0"/>
    <x v="5"/>
    <n v="87"/>
    <n v="2500"/>
    <n v="1700"/>
    <n v="217500"/>
    <n v="69600"/>
  </r>
  <r>
    <x v="124"/>
    <x v="5"/>
    <x v="0"/>
    <x v="2"/>
    <n v="23"/>
    <n v="3000"/>
    <n v="2000"/>
    <n v="69000"/>
    <n v="23000"/>
  </r>
  <r>
    <x v="125"/>
    <x v="14"/>
    <x v="2"/>
    <x v="3"/>
    <n v="25"/>
    <n v="1000"/>
    <n v="750"/>
    <n v="25000"/>
    <n v="6250"/>
  </r>
  <r>
    <x v="126"/>
    <x v="10"/>
    <x v="3"/>
    <x v="4"/>
    <n v="44"/>
    <n v="1200"/>
    <n v="750"/>
    <n v="52800"/>
    <n v="19800"/>
  </r>
  <r>
    <x v="127"/>
    <x v="10"/>
    <x v="1"/>
    <x v="3"/>
    <n v="140"/>
    <n v="1100"/>
    <n v="700"/>
    <n v="154000"/>
    <n v="56000"/>
  </r>
  <r>
    <x v="128"/>
    <x v="1"/>
    <x v="3"/>
    <x v="0"/>
    <n v="71"/>
    <n v="3350"/>
    <n v="2500"/>
    <n v="237850"/>
    <n v="60350"/>
  </r>
  <r>
    <x v="128"/>
    <x v="6"/>
    <x v="3"/>
    <x v="1"/>
    <n v="79"/>
    <n v="11000"/>
    <n v="7350"/>
    <n v="869000"/>
    <n v="288350"/>
  </r>
  <r>
    <x v="128"/>
    <x v="12"/>
    <x v="3"/>
    <x v="1"/>
    <n v="129"/>
    <n v="11000"/>
    <n v="7350"/>
    <n v="1419000"/>
    <n v="470850"/>
  </r>
  <r>
    <x v="129"/>
    <x v="2"/>
    <x v="3"/>
    <x v="4"/>
    <n v="144"/>
    <n v="1100"/>
    <n v="800"/>
    <n v="158400"/>
    <n v="43200"/>
  </r>
  <r>
    <x v="130"/>
    <x v="14"/>
    <x v="2"/>
    <x v="6"/>
    <n v="55"/>
    <n v="4000"/>
    <n v="2850"/>
    <n v="220000"/>
    <n v="63250"/>
  </r>
  <r>
    <x v="131"/>
    <x v="8"/>
    <x v="0"/>
    <x v="2"/>
    <n v="84"/>
    <n v="2850"/>
    <n v="2100"/>
    <n v="239400"/>
    <n v="63000"/>
  </r>
  <r>
    <x v="132"/>
    <x v="2"/>
    <x v="2"/>
    <x v="4"/>
    <n v="53"/>
    <n v="1150"/>
    <n v="800"/>
    <n v="60950"/>
    <n v="18550"/>
  </r>
  <r>
    <x v="133"/>
    <x v="0"/>
    <x v="1"/>
    <x v="0"/>
    <n v="90"/>
    <n v="3500"/>
    <n v="2500"/>
    <n v="315000"/>
    <n v="90000"/>
  </r>
  <r>
    <x v="133"/>
    <x v="8"/>
    <x v="3"/>
    <x v="8"/>
    <n v="114"/>
    <n v="600"/>
    <n v="400"/>
    <n v="68400"/>
    <n v="22800"/>
  </r>
  <r>
    <x v="133"/>
    <x v="11"/>
    <x v="1"/>
    <x v="5"/>
    <n v="139"/>
    <n v="2250"/>
    <n v="1700"/>
    <n v="312750"/>
    <n v="76450"/>
  </r>
  <r>
    <x v="133"/>
    <x v="4"/>
    <x v="4"/>
    <x v="1"/>
    <n v="87"/>
    <n v="10000"/>
    <n v="7000"/>
    <n v="870000"/>
    <n v="261000"/>
  </r>
  <r>
    <x v="134"/>
    <x v="8"/>
    <x v="3"/>
    <x v="0"/>
    <n v="148"/>
    <n v="3850"/>
    <n v="2650"/>
    <n v="569800"/>
    <n v="177600"/>
  </r>
  <r>
    <x v="135"/>
    <x v="10"/>
    <x v="2"/>
    <x v="7"/>
    <n v="90"/>
    <n v="4300"/>
    <n v="3200"/>
    <n v="387000"/>
    <n v="99000"/>
  </r>
  <r>
    <x v="136"/>
    <x v="12"/>
    <x v="4"/>
    <x v="8"/>
    <n v="29"/>
    <n v="600"/>
    <n v="400"/>
    <n v="17400"/>
    <n v="5800"/>
  </r>
  <r>
    <x v="136"/>
    <x v="6"/>
    <x v="0"/>
    <x v="9"/>
    <n v="73"/>
    <n v="6000"/>
    <n v="3800"/>
    <n v="438000"/>
    <n v="160600"/>
  </r>
  <r>
    <x v="137"/>
    <x v="2"/>
    <x v="2"/>
    <x v="8"/>
    <n v="52"/>
    <n v="600"/>
    <n v="400"/>
    <n v="31200"/>
    <n v="10400"/>
  </r>
  <r>
    <x v="138"/>
    <x v="4"/>
    <x v="2"/>
    <x v="9"/>
    <n v="58"/>
    <n v="5400"/>
    <n v="3800"/>
    <n v="313200"/>
    <n v="92800"/>
  </r>
  <r>
    <x v="138"/>
    <x v="1"/>
    <x v="4"/>
    <x v="7"/>
    <n v="90"/>
    <n v="4050"/>
    <n v="3050"/>
    <n v="364500"/>
    <n v="90000"/>
  </r>
  <r>
    <x v="139"/>
    <x v="8"/>
    <x v="3"/>
    <x v="1"/>
    <n v="64"/>
    <n v="10500"/>
    <n v="6650"/>
    <n v="672000"/>
    <n v="246400"/>
  </r>
  <r>
    <x v="139"/>
    <x v="3"/>
    <x v="0"/>
    <x v="6"/>
    <n v="141"/>
    <n v="4000"/>
    <n v="3000"/>
    <n v="564000"/>
    <n v="141000"/>
  </r>
  <r>
    <x v="140"/>
    <x v="13"/>
    <x v="3"/>
    <x v="5"/>
    <n v="25"/>
    <n v="2250"/>
    <n v="1500"/>
    <n v="56250"/>
    <n v="18750"/>
  </r>
  <r>
    <x v="141"/>
    <x v="7"/>
    <x v="3"/>
    <x v="6"/>
    <n v="46"/>
    <n v="4000"/>
    <n v="3000"/>
    <n v="184000"/>
    <n v="46000"/>
  </r>
  <r>
    <x v="142"/>
    <x v="9"/>
    <x v="2"/>
    <x v="5"/>
    <n v="147"/>
    <n v="2250"/>
    <n v="1700"/>
    <n v="330750"/>
    <n v="80850"/>
  </r>
  <r>
    <x v="142"/>
    <x v="10"/>
    <x v="3"/>
    <x v="8"/>
    <n v="52"/>
    <n v="600"/>
    <n v="400"/>
    <n v="31200"/>
    <n v="10400"/>
  </r>
  <r>
    <x v="143"/>
    <x v="12"/>
    <x v="0"/>
    <x v="9"/>
    <n v="47"/>
    <n v="6000"/>
    <n v="4000"/>
    <n v="282000"/>
    <n v="94000"/>
  </r>
  <r>
    <x v="144"/>
    <x v="2"/>
    <x v="4"/>
    <x v="5"/>
    <n v="29"/>
    <n v="2500"/>
    <n v="1700"/>
    <n v="72500"/>
    <n v="23200"/>
  </r>
  <r>
    <x v="145"/>
    <x v="2"/>
    <x v="4"/>
    <x v="1"/>
    <n v="97"/>
    <n v="10500"/>
    <n v="6650"/>
    <n v="1018500"/>
    <n v="373450"/>
  </r>
  <r>
    <x v="146"/>
    <x v="5"/>
    <x v="4"/>
    <x v="1"/>
    <n v="70"/>
    <n v="10000"/>
    <n v="7350"/>
    <n v="700000"/>
    <n v="185500"/>
  </r>
  <r>
    <x v="147"/>
    <x v="9"/>
    <x v="3"/>
    <x v="6"/>
    <n v="70"/>
    <n v="3600"/>
    <n v="3000"/>
    <n v="252000"/>
    <n v="42000"/>
  </r>
  <r>
    <x v="148"/>
    <x v="0"/>
    <x v="2"/>
    <x v="7"/>
    <n v="121"/>
    <n v="4300"/>
    <n v="3350"/>
    <n v="520300"/>
    <n v="114950"/>
  </r>
  <r>
    <x v="149"/>
    <x v="12"/>
    <x v="3"/>
    <x v="4"/>
    <n v="29"/>
    <n v="1100"/>
    <n v="800"/>
    <n v="31900"/>
    <n v="8700"/>
  </r>
  <r>
    <x v="150"/>
    <x v="1"/>
    <x v="3"/>
    <x v="7"/>
    <n v="36"/>
    <n v="4050"/>
    <n v="3200"/>
    <n v="145800"/>
    <n v="30600"/>
  </r>
  <r>
    <x v="151"/>
    <x v="7"/>
    <x v="4"/>
    <x v="2"/>
    <n v="68"/>
    <n v="3000"/>
    <n v="2100"/>
    <n v="204000"/>
    <n v="61200"/>
  </r>
  <r>
    <x v="152"/>
    <x v="6"/>
    <x v="1"/>
    <x v="5"/>
    <n v="128"/>
    <n v="2750"/>
    <n v="1500"/>
    <n v="352000"/>
    <n v="160000"/>
  </r>
  <r>
    <x v="153"/>
    <x v="0"/>
    <x v="3"/>
    <x v="5"/>
    <n v="65"/>
    <n v="2650"/>
    <n v="1500"/>
    <n v="172250"/>
    <n v="74750"/>
  </r>
  <r>
    <x v="154"/>
    <x v="7"/>
    <x v="2"/>
    <x v="7"/>
    <n v="81"/>
    <n v="4500"/>
    <n v="3200"/>
    <n v="364500"/>
    <n v="105300"/>
  </r>
  <r>
    <x v="155"/>
    <x v="9"/>
    <x v="3"/>
    <x v="9"/>
    <n v="143"/>
    <n v="6000"/>
    <n v="4000"/>
    <n v="858000"/>
    <n v="286000"/>
  </r>
  <r>
    <x v="156"/>
    <x v="10"/>
    <x v="1"/>
    <x v="7"/>
    <n v="24"/>
    <n v="4500"/>
    <n v="3050"/>
    <n v="108000"/>
    <n v="34800"/>
  </r>
  <r>
    <x v="157"/>
    <x v="3"/>
    <x v="0"/>
    <x v="2"/>
    <n v="85"/>
    <n v="3000"/>
    <n v="2100"/>
    <n v="255000"/>
    <n v="76500"/>
  </r>
  <r>
    <x v="158"/>
    <x v="8"/>
    <x v="4"/>
    <x v="3"/>
    <n v="58"/>
    <n v="1000"/>
    <n v="700"/>
    <n v="58000"/>
    <n v="17400"/>
  </r>
  <r>
    <x v="158"/>
    <x v="1"/>
    <x v="0"/>
    <x v="9"/>
    <n v="114"/>
    <n v="6300"/>
    <n v="4000"/>
    <n v="718200"/>
    <n v="262200"/>
  </r>
  <r>
    <x v="159"/>
    <x v="12"/>
    <x v="0"/>
    <x v="3"/>
    <n v="118"/>
    <n v="1000"/>
    <n v="650"/>
    <n v="118000"/>
    <n v="41300"/>
  </r>
  <r>
    <x v="160"/>
    <x v="7"/>
    <x v="4"/>
    <x v="5"/>
    <n v="30"/>
    <n v="2250"/>
    <n v="1500"/>
    <n v="67500"/>
    <n v="22500"/>
  </r>
  <r>
    <x v="161"/>
    <x v="12"/>
    <x v="2"/>
    <x v="1"/>
    <n v="41"/>
    <n v="9000"/>
    <n v="7000"/>
    <n v="369000"/>
    <n v="82000"/>
  </r>
  <r>
    <x v="162"/>
    <x v="5"/>
    <x v="3"/>
    <x v="5"/>
    <n v="20"/>
    <n v="2400"/>
    <n v="1500"/>
    <n v="48000"/>
    <n v="18000"/>
  </r>
  <r>
    <x v="163"/>
    <x v="6"/>
    <x v="4"/>
    <x v="0"/>
    <n v="128"/>
    <n v="3150"/>
    <n v="2500"/>
    <n v="403200"/>
    <n v="83200"/>
  </r>
  <r>
    <x v="163"/>
    <x v="6"/>
    <x v="4"/>
    <x v="3"/>
    <n v="123"/>
    <n v="1100"/>
    <n v="700"/>
    <n v="135300"/>
    <n v="49200"/>
  </r>
  <r>
    <x v="164"/>
    <x v="5"/>
    <x v="2"/>
    <x v="3"/>
    <n v="138"/>
    <n v="1000"/>
    <n v="700"/>
    <n v="138000"/>
    <n v="41400"/>
  </r>
  <r>
    <x v="165"/>
    <x v="6"/>
    <x v="2"/>
    <x v="9"/>
    <n v="25"/>
    <n v="6000"/>
    <n v="3800"/>
    <n v="150000"/>
    <n v="55000"/>
  </r>
  <r>
    <x v="166"/>
    <x v="11"/>
    <x v="2"/>
    <x v="6"/>
    <n v="35"/>
    <n v="3600"/>
    <n v="3000"/>
    <n v="126000"/>
    <n v="21000"/>
  </r>
  <r>
    <x v="167"/>
    <x v="9"/>
    <x v="4"/>
    <x v="2"/>
    <n v="64"/>
    <n v="3150"/>
    <n v="2200"/>
    <n v="201600"/>
    <n v="60800"/>
  </r>
  <r>
    <x v="168"/>
    <x v="6"/>
    <x v="1"/>
    <x v="5"/>
    <n v="56"/>
    <n v="2400"/>
    <n v="1600"/>
    <n v="134400"/>
    <n v="44800"/>
  </r>
  <r>
    <x v="168"/>
    <x v="11"/>
    <x v="1"/>
    <x v="4"/>
    <n v="143"/>
    <n v="1200"/>
    <n v="800"/>
    <n v="171600"/>
    <n v="57200"/>
  </r>
  <r>
    <x v="169"/>
    <x v="1"/>
    <x v="1"/>
    <x v="6"/>
    <n v="20"/>
    <n v="4000"/>
    <n v="3150"/>
    <n v="80000"/>
    <n v="17000"/>
  </r>
  <r>
    <x v="170"/>
    <x v="3"/>
    <x v="0"/>
    <x v="8"/>
    <n v="45"/>
    <n v="550"/>
    <n v="400"/>
    <n v="24750"/>
    <n v="6750"/>
  </r>
  <r>
    <x v="171"/>
    <x v="8"/>
    <x v="4"/>
    <x v="8"/>
    <n v="20"/>
    <n v="650"/>
    <n v="400"/>
    <n v="13000"/>
    <n v="5000"/>
  </r>
  <r>
    <x v="172"/>
    <x v="5"/>
    <x v="1"/>
    <x v="4"/>
    <n v="42"/>
    <n v="1150"/>
    <n v="800"/>
    <n v="48300"/>
    <n v="14700"/>
  </r>
  <r>
    <x v="173"/>
    <x v="10"/>
    <x v="0"/>
    <x v="4"/>
    <n v="106"/>
    <n v="1200"/>
    <n v="800"/>
    <n v="127200"/>
    <n v="42400"/>
  </r>
  <r>
    <x v="174"/>
    <x v="3"/>
    <x v="1"/>
    <x v="5"/>
    <n v="86"/>
    <n v="2650"/>
    <n v="1600"/>
    <n v="227900"/>
    <n v="90300"/>
  </r>
  <r>
    <x v="174"/>
    <x v="13"/>
    <x v="2"/>
    <x v="1"/>
    <n v="71"/>
    <n v="10500"/>
    <n v="7000"/>
    <n v="745500"/>
    <n v="248500"/>
  </r>
  <r>
    <x v="175"/>
    <x v="12"/>
    <x v="2"/>
    <x v="1"/>
    <n v="99"/>
    <n v="10000"/>
    <n v="6650"/>
    <n v="990000"/>
    <n v="331650"/>
  </r>
  <r>
    <x v="176"/>
    <x v="5"/>
    <x v="4"/>
    <x v="2"/>
    <n v="47"/>
    <n v="3000"/>
    <n v="2100"/>
    <n v="141000"/>
    <n v="42300"/>
  </r>
  <r>
    <x v="177"/>
    <x v="3"/>
    <x v="2"/>
    <x v="4"/>
    <n v="143"/>
    <n v="1150"/>
    <n v="750"/>
    <n v="164450"/>
    <n v="57200"/>
  </r>
  <r>
    <x v="178"/>
    <x v="14"/>
    <x v="0"/>
    <x v="2"/>
    <n v="90"/>
    <n v="2850"/>
    <n v="2200"/>
    <n v="256500"/>
    <n v="58500"/>
  </r>
  <r>
    <x v="178"/>
    <x v="5"/>
    <x v="2"/>
    <x v="7"/>
    <n v="49"/>
    <n v="4950"/>
    <n v="3200"/>
    <n v="242550"/>
    <n v="85750"/>
  </r>
  <r>
    <x v="178"/>
    <x v="0"/>
    <x v="1"/>
    <x v="4"/>
    <n v="113"/>
    <n v="1200"/>
    <n v="800"/>
    <n v="135600"/>
    <n v="45200"/>
  </r>
  <r>
    <x v="179"/>
    <x v="13"/>
    <x v="0"/>
    <x v="7"/>
    <n v="147"/>
    <n v="4050"/>
    <n v="3200"/>
    <n v="595350"/>
    <n v="124950"/>
  </r>
  <r>
    <x v="179"/>
    <x v="1"/>
    <x v="2"/>
    <x v="5"/>
    <n v="133"/>
    <n v="2500"/>
    <n v="1600"/>
    <n v="332500"/>
    <n v="119700"/>
  </r>
  <r>
    <x v="180"/>
    <x v="5"/>
    <x v="0"/>
    <x v="4"/>
    <n v="30"/>
    <n v="1200"/>
    <n v="800"/>
    <n v="36000"/>
    <n v="12000"/>
  </r>
  <r>
    <x v="181"/>
    <x v="0"/>
    <x v="1"/>
    <x v="1"/>
    <n v="64"/>
    <n v="11000"/>
    <n v="7350"/>
    <n v="704000"/>
    <n v="233600"/>
  </r>
  <r>
    <x v="181"/>
    <x v="3"/>
    <x v="3"/>
    <x v="6"/>
    <n v="79"/>
    <n v="4200"/>
    <n v="3000"/>
    <n v="331800"/>
    <n v="94800"/>
  </r>
  <r>
    <x v="182"/>
    <x v="3"/>
    <x v="2"/>
    <x v="7"/>
    <n v="58"/>
    <n v="4050"/>
    <n v="3200"/>
    <n v="234900"/>
    <n v="49300"/>
  </r>
  <r>
    <x v="182"/>
    <x v="0"/>
    <x v="3"/>
    <x v="1"/>
    <n v="90"/>
    <n v="10000"/>
    <n v="7000"/>
    <n v="900000"/>
    <n v="270000"/>
  </r>
  <r>
    <x v="183"/>
    <x v="11"/>
    <x v="4"/>
    <x v="2"/>
    <n v="146"/>
    <n v="3300"/>
    <n v="2100"/>
    <n v="481800"/>
    <n v="175200"/>
  </r>
  <r>
    <x v="183"/>
    <x v="13"/>
    <x v="1"/>
    <x v="0"/>
    <n v="109"/>
    <n v="3700"/>
    <n v="2500"/>
    <n v="403300"/>
    <n v="130800"/>
  </r>
  <r>
    <x v="184"/>
    <x v="1"/>
    <x v="1"/>
    <x v="4"/>
    <n v="52"/>
    <n v="1200"/>
    <n v="750"/>
    <n v="62400"/>
    <n v="23400"/>
  </r>
  <r>
    <x v="185"/>
    <x v="7"/>
    <x v="2"/>
    <x v="4"/>
    <n v="122"/>
    <n v="1200"/>
    <n v="800"/>
    <n v="146400"/>
    <n v="48800"/>
  </r>
  <r>
    <x v="185"/>
    <x v="13"/>
    <x v="3"/>
    <x v="5"/>
    <n v="24"/>
    <n v="2750"/>
    <n v="1700"/>
    <n v="66000"/>
    <n v="25200"/>
  </r>
  <r>
    <x v="186"/>
    <x v="8"/>
    <x v="2"/>
    <x v="1"/>
    <n v="71"/>
    <n v="9000"/>
    <n v="6650"/>
    <n v="639000"/>
    <n v="166850"/>
  </r>
  <r>
    <x v="187"/>
    <x v="5"/>
    <x v="2"/>
    <x v="9"/>
    <n v="24"/>
    <n v="6000"/>
    <n v="4000"/>
    <n v="144000"/>
    <n v="48000"/>
  </r>
  <r>
    <x v="187"/>
    <x v="1"/>
    <x v="4"/>
    <x v="0"/>
    <n v="142"/>
    <n v="3350"/>
    <n v="2500"/>
    <n v="475700"/>
    <n v="120700"/>
  </r>
  <r>
    <x v="188"/>
    <x v="10"/>
    <x v="0"/>
    <x v="7"/>
    <n v="107"/>
    <n v="4500"/>
    <n v="3200"/>
    <n v="481500"/>
    <n v="139100"/>
  </r>
  <r>
    <x v="188"/>
    <x v="9"/>
    <x v="3"/>
    <x v="2"/>
    <n v="105"/>
    <n v="2700"/>
    <n v="2100"/>
    <n v="283500"/>
    <n v="63000"/>
  </r>
  <r>
    <x v="189"/>
    <x v="7"/>
    <x v="4"/>
    <x v="1"/>
    <n v="30"/>
    <n v="11000"/>
    <n v="7000"/>
    <n v="330000"/>
    <n v="120000"/>
  </r>
  <r>
    <x v="190"/>
    <x v="5"/>
    <x v="2"/>
    <x v="4"/>
    <n v="120"/>
    <n v="1100"/>
    <n v="850"/>
    <n v="132000"/>
    <n v="30000"/>
  </r>
  <r>
    <x v="191"/>
    <x v="2"/>
    <x v="1"/>
    <x v="1"/>
    <n v="146"/>
    <n v="10000"/>
    <n v="7000"/>
    <n v="1460000"/>
    <n v="438000"/>
  </r>
  <r>
    <x v="191"/>
    <x v="2"/>
    <x v="3"/>
    <x v="6"/>
    <n v="42"/>
    <n v="4400"/>
    <n v="2850"/>
    <n v="184800"/>
    <n v="65100"/>
  </r>
  <r>
    <x v="192"/>
    <x v="13"/>
    <x v="1"/>
    <x v="9"/>
    <n v="27"/>
    <n v="6300"/>
    <n v="4000"/>
    <n v="170100"/>
    <n v="62100"/>
  </r>
  <r>
    <x v="193"/>
    <x v="5"/>
    <x v="3"/>
    <x v="6"/>
    <n v="148"/>
    <n v="4000"/>
    <n v="3000"/>
    <n v="592000"/>
    <n v="148000"/>
  </r>
  <r>
    <x v="194"/>
    <x v="5"/>
    <x v="0"/>
    <x v="8"/>
    <n v="84"/>
    <n v="650"/>
    <n v="400"/>
    <n v="54600"/>
    <n v="21000"/>
  </r>
  <r>
    <x v="195"/>
    <x v="1"/>
    <x v="2"/>
    <x v="1"/>
    <n v="131"/>
    <n v="9500"/>
    <n v="7000"/>
    <n v="1244500"/>
    <n v="327500"/>
  </r>
  <r>
    <x v="196"/>
    <x v="10"/>
    <x v="0"/>
    <x v="4"/>
    <n v="101"/>
    <n v="1300"/>
    <n v="850"/>
    <n v="131300"/>
    <n v="45450"/>
  </r>
  <r>
    <x v="197"/>
    <x v="11"/>
    <x v="3"/>
    <x v="9"/>
    <n v="94"/>
    <n v="6600"/>
    <n v="4200"/>
    <n v="620400"/>
    <n v="225600"/>
  </r>
  <r>
    <x v="198"/>
    <x v="4"/>
    <x v="3"/>
    <x v="8"/>
    <n v="107"/>
    <n v="600"/>
    <n v="400"/>
    <n v="64200"/>
    <n v="21400"/>
  </r>
  <r>
    <x v="199"/>
    <x v="13"/>
    <x v="1"/>
    <x v="6"/>
    <n v="52"/>
    <n v="4000"/>
    <n v="3000"/>
    <n v="208000"/>
    <n v="52000"/>
  </r>
  <r>
    <x v="199"/>
    <x v="10"/>
    <x v="4"/>
    <x v="2"/>
    <n v="100"/>
    <n v="3150"/>
    <n v="2000"/>
    <n v="315000"/>
    <n v="115000"/>
  </r>
  <r>
    <x v="200"/>
    <x v="14"/>
    <x v="0"/>
    <x v="6"/>
    <n v="31"/>
    <n v="3800"/>
    <n v="3000"/>
    <n v="117800"/>
    <n v="24800"/>
  </r>
  <r>
    <x v="201"/>
    <x v="14"/>
    <x v="0"/>
    <x v="2"/>
    <n v="34"/>
    <n v="3300"/>
    <n v="2100"/>
    <n v="112200"/>
    <n v="40800"/>
  </r>
  <r>
    <x v="202"/>
    <x v="1"/>
    <x v="1"/>
    <x v="8"/>
    <n v="150"/>
    <n v="650"/>
    <n v="400"/>
    <n v="97500"/>
    <n v="37500"/>
  </r>
  <r>
    <x v="203"/>
    <x v="9"/>
    <x v="1"/>
    <x v="9"/>
    <n v="146"/>
    <n v="6000"/>
    <n v="3800"/>
    <n v="876000"/>
    <n v="321200"/>
  </r>
  <r>
    <x v="204"/>
    <x v="14"/>
    <x v="2"/>
    <x v="0"/>
    <n v="111"/>
    <n v="3500"/>
    <n v="2500"/>
    <n v="388500"/>
    <n v="111000"/>
  </r>
  <r>
    <x v="205"/>
    <x v="10"/>
    <x v="4"/>
    <x v="2"/>
    <n v="113"/>
    <n v="2850"/>
    <n v="2200"/>
    <n v="322050"/>
    <n v="73450"/>
  </r>
  <r>
    <x v="206"/>
    <x v="12"/>
    <x v="2"/>
    <x v="6"/>
    <n v="107"/>
    <n v="4200"/>
    <n v="2850"/>
    <n v="449400"/>
    <n v="144450"/>
  </r>
  <r>
    <x v="207"/>
    <x v="7"/>
    <x v="2"/>
    <x v="9"/>
    <n v="106"/>
    <n v="5700"/>
    <n v="3800"/>
    <n v="604200"/>
    <n v="201400"/>
  </r>
  <r>
    <x v="208"/>
    <x v="2"/>
    <x v="3"/>
    <x v="3"/>
    <n v="43"/>
    <n v="1100"/>
    <n v="650"/>
    <n v="47300"/>
    <n v="19350"/>
  </r>
  <r>
    <x v="209"/>
    <x v="3"/>
    <x v="1"/>
    <x v="2"/>
    <n v="44"/>
    <n v="3000"/>
    <n v="2100"/>
    <n v="132000"/>
    <n v="39600"/>
  </r>
  <r>
    <x v="210"/>
    <x v="12"/>
    <x v="4"/>
    <x v="4"/>
    <n v="52"/>
    <n v="1150"/>
    <n v="750"/>
    <n v="59800"/>
    <n v="20800"/>
  </r>
  <r>
    <x v="210"/>
    <x v="11"/>
    <x v="2"/>
    <x v="1"/>
    <n v="101"/>
    <n v="10500"/>
    <n v="6650"/>
    <n v="1060500"/>
    <n v="388850"/>
  </r>
  <r>
    <x v="211"/>
    <x v="6"/>
    <x v="4"/>
    <x v="2"/>
    <n v="149"/>
    <n v="3000"/>
    <n v="2000"/>
    <n v="447000"/>
    <n v="149000"/>
  </r>
  <r>
    <x v="212"/>
    <x v="3"/>
    <x v="0"/>
    <x v="6"/>
    <n v="56"/>
    <n v="4000"/>
    <n v="3000"/>
    <n v="224000"/>
    <n v="56000"/>
  </r>
  <r>
    <x v="213"/>
    <x v="5"/>
    <x v="3"/>
    <x v="3"/>
    <n v="36"/>
    <n v="1100"/>
    <n v="700"/>
    <n v="39600"/>
    <n v="14400"/>
  </r>
  <r>
    <x v="214"/>
    <x v="3"/>
    <x v="4"/>
    <x v="7"/>
    <n v="95"/>
    <n v="4750"/>
    <n v="3050"/>
    <n v="451250"/>
    <n v="161500"/>
  </r>
  <r>
    <x v="215"/>
    <x v="11"/>
    <x v="1"/>
    <x v="8"/>
    <n v="58"/>
    <n v="600"/>
    <n v="400"/>
    <n v="34800"/>
    <n v="11600"/>
  </r>
  <r>
    <x v="216"/>
    <x v="11"/>
    <x v="3"/>
    <x v="8"/>
    <n v="82"/>
    <n v="600"/>
    <n v="400"/>
    <n v="49200"/>
    <n v="16400"/>
  </r>
  <r>
    <x v="217"/>
    <x v="3"/>
    <x v="4"/>
    <x v="5"/>
    <n v="131"/>
    <n v="2500"/>
    <n v="1700"/>
    <n v="327500"/>
    <n v="104800"/>
  </r>
  <r>
    <x v="218"/>
    <x v="14"/>
    <x v="0"/>
    <x v="3"/>
    <n v="96"/>
    <n v="1000"/>
    <n v="650"/>
    <n v="96000"/>
    <n v="33600"/>
  </r>
  <r>
    <x v="219"/>
    <x v="8"/>
    <x v="2"/>
    <x v="8"/>
    <n v="47"/>
    <n v="650"/>
    <n v="400"/>
    <n v="30550"/>
    <n v="11750"/>
  </r>
  <r>
    <x v="220"/>
    <x v="3"/>
    <x v="1"/>
    <x v="1"/>
    <n v="100"/>
    <n v="9000"/>
    <n v="7000"/>
    <n v="900000"/>
    <n v="200000"/>
  </r>
  <r>
    <x v="221"/>
    <x v="1"/>
    <x v="0"/>
    <x v="2"/>
    <n v="115"/>
    <n v="2700"/>
    <n v="2100"/>
    <n v="310500"/>
    <n v="69000"/>
  </r>
  <r>
    <x v="222"/>
    <x v="8"/>
    <x v="4"/>
    <x v="5"/>
    <n v="123"/>
    <n v="2500"/>
    <n v="1700"/>
    <n v="307500"/>
    <n v="98400"/>
  </r>
  <r>
    <x v="223"/>
    <x v="0"/>
    <x v="0"/>
    <x v="7"/>
    <n v="100"/>
    <n v="4750"/>
    <n v="3050"/>
    <n v="475000"/>
    <n v="170000"/>
  </r>
  <r>
    <x v="224"/>
    <x v="14"/>
    <x v="0"/>
    <x v="7"/>
    <n v="82"/>
    <n v="4050"/>
    <n v="3200"/>
    <n v="332100"/>
    <n v="69700"/>
  </r>
  <r>
    <x v="225"/>
    <x v="10"/>
    <x v="3"/>
    <x v="8"/>
    <n v="96"/>
    <n v="550"/>
    <n v="400"/>
    <n v="52800"/>
    <n v="14400"/>
  </r>
  <r>
    <x v="226"/>
    <x v="14"/>
    <x v="1"/>
    <x v="9"/>
    <n v="126"/>
    <n v="6000"/>
    <n v="4000"/>
    <n v="756000"/>
    <n v="252000"/>
  </r>
  <r>
    <x v="227"/>
    <x v="12"/>
    <x v="0"/>
    <x v="9"/>
    <n v="110"/>
    <n v="6000"/>
    <n v="3800"/>
    <n v="660000"/>
    <n v="242000"/>
  </r>
  <r>
    <x v="227"/>
    <x v="3"/>
    <x v="4"/>
    <x v="7"/>
    <n v="35"/>
    <n v="4500"/>
    <n v="3350"/>
    <n v="157500"/>
    <n v="40250"/>
  </r>
  <r>
    <x v="228"/>
    <x v="7"/>
    <x v="0"/>
    <x v="8"/>
    <n v="139"/>
    <n v="650"/>
    <n v="400"/>
    <n v="90350"/>
    <n v="34750"/>
  </r>
  <r>
    <x v="228"/>
    <x v="7"/>
    <x v="0"/>
    <x v="4"/>
    <n v="150"/>
    <n v="1300"/>
    <n v="800"/>
    <n v="195000"/>
    <n v="75000"/>
  </r>
  <r>
    <x v="229"/>
    <x v="6"/>
    <x v="4"/>
    <x v="8"/>
    <n v="54"/>
    <n v="600"/>
    <n v="400"/>
    <n v="32400"/>
    <n v="10800"/>
  </r>
  <r>
    <x v="230"/>
    <x v="7"/>
    <x v="0"/>
    <x v="9"/>
    <n v="50"/>
    <n v="6600"/>
    <n v="4200"/>
    <n v="330000"/>
    <n v="120000"/>
  </r>
  <r>
    <x v="230"/>
    <x v="2"/>
    <x v="1"/>
    <x v="0"/>
    <n v="83"/>
    <n v="3150"/>
    <n v="2500"/>
    <n v="261450"/>
    <n v="53950"/>
  </r>
  <r>
    <x v="231"/>
    <x v="13"/>
    <x v="4"/>
    <x v="2"/>
    <n v="35"/>
    <n v="2850"/>
    <n v="2000"/>
    <n v="99750"/>
    <n v="29750"/>
  </r>
  <r>
    <x v="232"/>
    <x v="2"/>
    <x v="3"/>
    <x v="1"/>
    <n v="78"/>
    <n v="10000"/>
    <n v="7350"/>
    <n v="780000"/>
    <n v="206700"/>
  </r>
  <r>
    <x v="233"/>
    <x v="7"/>
    <x v="0"/>
    <x v="2"/>
    <n v="149"/>
    <n v="3300"/>
    <n v="2200"/>
    <n v="491700"/>
    <n v="163900"/>
  </r>
  <r>
    <x v="234"/>
    <x v="9"/>
    <x v="0"/>
    <x v="3"/>
    <n v="45"/>
    <n v="1050"/>
    <n v="700"/>
    <n v="47250"/>
    <n v="15750"/>
  </r>
  <r>
    <x v="234"/>
    <x v="10"/>
    <x v="2"/>
    <x v="7"/>
    <n v="40"/>
    <n v="4050"/>
    <n v="3350"/>
    <n v="162000"/>
    <n v="28000"/>
  </r>
  <r>
    <x v="234"/>
    <x v="5"/>
    <x v="1"/>
    <x v="5"/>
    <n v="70"/>
    <n v="2750"/>
    <n v="1600"/>
    <n v="192500"/>
    <n v="80500"/>
  </r>
  <r>
    <x v="234"/>
    <x v="4"/>
    <x v="1"/>
    <x v="0"/>
    <n v="147"/>
    <n v="3850"/>
    <n v="2400"/>
    <n v="565950"/>
    <n v="2131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BE056B-B3CD-40E5-AA0D-31422B3076E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D3:E19" firstHeaderRow="1" firstDataRow="1" firstDataCol="1"/>
  <pivotFields count="11">
    <pivotField numFmtId="164" showAll="0">
      <items count="15">
        <item x="0"/>
        <item x="1"/>
        <item x="2"/>
        <item x="3"/>
        <item x="4"/>
        <item x="5"/>
        <item x="6"/>
        <item x="7"/>
        <item x="8"/>
        <item x="9"/>
        <item x="10"/>
        <item x="11"/>
        <item x="12"/>
        <item x="13"/>
        <item t="default"/>
      </items>
    </pivotField>
    <pivotField axis="axisRow" showAll="0">
      <items count="16">
        <item x="13"/>
        <item x="5"/>
        <item x="10"/>
        <item x="9"/>
        <item x="2"/>
        <item x="1"/>
        <item x="3"/>
        <item x="7"/>
        <item x="11"/>
        <item x="6"/>
        <item x="0"/>
        <item x="8"/>
        <item x="12"/>
        <item x="4"/>
        <item x="14"/>
        <item t="default"/>
      </items>
    </pivotField>
    <pivotField showAll="0">
      <items count="6">
        <item x="0"/>
        <item x="4"/>
        <item x="3"/>
        <item x="2"/>
        <item x="1"/>
        <item t="default"/>
      </items>
    </pivotField>
    <pivotField showAll="0">
      <items count="11">
        <item x="4"/>
        <item x="5"/>
        <item x="0"/>
        <item x="7"/>
        <item x="2"/>
        <item x="8"/>
        <item x="3"/>
        <item x="1"/>
        <item x="6"/>
        <item x="9"/>
        <item t="default"/>
      </items>
    </pivotField>
    <pivotField numFmtId="3" showAll="0"/>
    <pivotField numFmtId="165" showAll="0"/>
    <pivotField numFmtId="165" showAll="0"/>
    <pivotField dataField="1" numFmtId="165" showAll="0"/>
    <pivotField numFmtId="165"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Total Sales" fld="7" baseField="1" baseItem="0" numFmtId="166"/>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AEA804-0DB4-43BB-B133-A7835CC5DB9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9" firstHeaderRow="1" firstDataRow="1" firstDataCol="1"/>
  <pivotFields count="11">
    <pivotField numFmtId="164" showAll="0">
      <items count="15">
        <item x="0"/>
        <item x="1"/>
        <item x="2"/>
        <item x="3"/>
        <item x="4"/>
        <item x="5"/>
        <item x="6"/>
        <item x="7"/>
        <item x="8"/>
        <item x="9"/>
        <item x="10"/>
        <item x="11"/>
        <item x="12"/>
        <item x="13"/>
        <item t="default"/>
      </items>
    </pivotField>
    <pivotField showAll="0">
      <items count="16">
        <item x="13"/>
        <item x="5"/>
        <item x="10"/>
        <item x="9"/>
        <item x="2"/>
        <item x="1"/>
        <item x="3"/>
        <item x="7"/>
        <item x="11"/>
        <item x="6"/>
        <item x="0"/>
        <item x="8"/>
        <item x="12"/>
        <item x="4"/>
        <item x="14"/>
        <item t="default"/>
      </items>
    </pivotField>
    <pivotField axis="axisRow" showAll="0">
      <items count="6">
        <item x="0"/>
        <item x="4"/>
        <item x="3"/>
        <item x="2"/>
        <item x="1"/>
        <item t="default"/>
      </items>
    </pivotField>
    <pivotField showAll="0">
      <items count="11">
        <item x="4"/>
        <item x="5"/>
        <item x="0"/>
        <item x="7"/>
        <item x="2"/>
        <item x="8"/>
        <item x="3"/>
        <item x="1"/>
        <item x="6"/>
        <item x="9"/>
        <item t="default"/>
      </items>
    </pivotField>
    <pivotField numFmtId="3" showAll="0"/>
    <pivotField numFmtId="165" showAll="0"/>
    <pivotField numFmtId="165" showAll="0"/>
    <pivotField dataField="1" numFmtId="165" showAll="0"/>
    <pivotField numFmtId="165"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Total Sales" fld="7" baseField="2" baseItem="0" numFmtId="166"/>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4"/>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2" count="1" selected="0">
            <x v="0"/>
          </reference>
        </references>
      </pivotArea>
    </chartFormat>
    <chartFormat chart="4" format="14">
      <pivotArea type="data" outline="0" fieldPosition="0">
        <references count="2">
          <reference field="4294967294" count="1" selected="0">
            <x v="0"/>
          </reference>
          <reference field="2" count="1" selected="0">
            <x v="1"/>
          </reference>
        </references>
      </pivotArea>
    </chartFormat>
    <chartFormat chart="4" format="15">
      <pivotArea type="data" outline="0" fieldPosition="0">
        <references count="2">
          <reference field="4294967294" count="1" selected="0">
            <x v="0"/>
          </reference>
          <reference field="2" count="1" selected="0">
            <x v="2"/>
          </reference>
        </references>
      </pivotArea>
    </chartFormat>
    <chartFormat chart="4" format="16">
      <pivotArea type="data" outline="0" fieldPosition="0">
        <references count="2">
          <reference field="4294967294" count="1" selected="0">
            <x v="0"/>
          </reference>
          <reference field="2" count="1" selected="0">
            <x v="3"/>
          </reference>
        </references>
      </pivotArea>
    </chartFormat>
    <chartFormat chart="4"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85F496-4F53-4F1F-A6DE-808409A2DD4A}"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4">
  <location ref="J3:K14" firstHeaderRow="1" firstDataRow="1" firstDataCol="1"/>
  <pivotFields count="11">
    <pivotField numFmtId="164" showAll="0">
      <items count="15">
        <item x="0"/>
        <item x="1"/>
        <item x="2"/>
        <item x="3"/>
        <item x="4"/>
        <item x="5"/>
        <item x="6"/>
        <item x="7"/>
        <item x="8"/>
        <item x="9"/>
        <item x="10"/>
        <item x="11"/>
        <item x="12"/>
        <item x="13"/>
        <item t="default"/>
      </items>
    </pivotField>
    <pivotField showAll="0">
      <items count="16">
        <item x="13"/>
        <item x="5"/>
        <item x="10"/>
        <item x="9"/>
        <item x="2"/>
        <item x="1"/>
        <item x="3"/>
        <item x="7"/>
        <item x="11"/>
        <item x="6"/>
        <item x="0"/>
        <item x="8"/>
        <item x="12"/>
        <item x="4"/>
        <item x="14"/>
        <item t="default"/>
      </items>
    </pivotField>
    <pivotField showAll="0">
      <items count="6">
        <item x="0"/>
        <item x="4"/>
        <item x="3"/>
        <item x="2"/>
        <item x="1"/>
        <item t="default"/>
      </items>
    </pivotField>
    <pivotField axis="axisRow" showAll="0">
      <items count="11">
        <item x="4"/>
        <item x="5"/>
        <item x="0"/>
        <item x="7"/>
        <item x="2"/>
        <item x="8"/>
        <item x="3"/>
        <item x="1"/>
        <item x="6"/>
        <item x="9"/>
        <item t="default"/>
      </items>
    </pivotField>
    <pivotField dataField="1" numFmtId="3" showAll="0"/>
    <pivotField numFmtId="165" showAll="0"/>
    <pivotField numFmtId="165" showAll="0"/>
    <pivotField numFmtId="165" showAll="0"/>
    <pivotField numFmtId="165"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Sum of Units Sold" fld="4" baseField="3" baseItem="0"/>
  </dataFields>
  <chartFormats count="3">
    <chartFormat chart="22" format="0"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90547C-51A1-4245-903D-B3C52FEC99B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G3:H14" firstHeaderRow="1" firstDataRow="1" firstDataCol="1"/>
  <pivotFields count="11">
    <pivotField numFmtId="164" showAll="0">
      <items count="15">
        <item x="0"/>
        <item x="1"/>
        <item x="2"/>
        <item x="3"/>
        <item x="4"/>
        <item x="5"/>
        <item x="6"/>
        <item x="7"/>
        <item x="8"/>
        <item x="9"/>
        <item x="10"/>
        <item x="11"/>
        <item x="12"/>
        <item x="13"/>
        <item t="default"/>
      </items>
    </pivotField>
    <pivotField showAll="0">
      <items count="16">
        <item x="13"/>
        <item x="5"/>
        <item x="10"/>
        <item x="9"/>
        <item x="2"/>
        <item x="1"/>
        <item x="3"/>
        <item x="7"/>
        <item x="11"/>
        <item x="6"/>
        <item x="0"/>
        <item x="8"/>
        <item x="12"/>
        <item x="4"/>
        <item x="14"/>
        <item t="default"/>
      </items>
    </pivotField>
    <pivotField showAll="0">
      <items count="6">
        <item x="0"/>
        <item x="4"/>
        <item x="3"/>
        <item x="2"/>
        <item x="1"/>
        <item t="default"/>
      </items>
    </pivotField>
    <pivotField axis="axisRow" showAll="0">
      <items count="11">
        <item x="4"/>
        <item x="5"/>
        <item x="0"/>
        <item x="7"/>
        <item x="2"/>
        <item x="8"/>
        <item x="3"/>
        <item x="1"/>
        <item x="6"/>
        <item x="9"/>
        <item t="default"/>
      </items>
    </pivotField>
    <pivotField numFmtId="3" showAll="0"/>
    <pivotField numFmtId="165" showAll="0"/>
    <pivotField numFmtId="165" showAll="0"/>
    <pivotField dataField="1" numFmtId="165" showAll="0"/>
    <pivotField numFmtId="165"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Sum of Total Sales" fld="7" baseField="3" baseItem="0" numFmtId="166"/>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48FCBA-ACB0-4BEB-8ABA-BFCF63F4D759}" sourceName="Region">
  <pivotTables>
    <pivotTable tabId="4" name="PivotTable1"/>
    <pivotTable tabId="4" name="PivotTable2"/>
    <pivotTable tabId="4" name="PivotTable3"/>
    <pivotTable tabId="4" name="PivotTable4"/>
  </pivotTables>
  <data>
    <tabular pivotCacheId="2102376004">
      <items count="5">
        <i x="0" s="1"/>
        <i x="4" s="1"/>
        <i x="3" s="1"/>
        <i x="2"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E2874DA-A237-4B0E-86DE-FE1789A819A4}" sourceName="Product">
  <pivotTables>
    <pivotTable tabId="4" name="PivotTable1"/>
    <pivotTable tabId="4" name="PivotTable2"/>
    <pivotTable tabId="4" name="PivotTable3"/>
    <pivotTable tabId="4" name="PivotTable4"/>
  </pivotTables>
  <data>
    <tabular pivotCacheId="2102376004">
      <items count="10">
        <i x="4" s="1"/>
        <i x="5" s="1"/>
        <i x="0" s="1"/>
        <i x="7" s="1"/>
        <i x="2" s="1"/>
        <i x="8" s="1"/>
        <i x="3" s="1"/>
        <i x="1" s="1"/>
        <i x="6"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64423C74-5CAF-4691-B34C-C115653968E1}" sourceName="Sales Person">
  <pivotTables>
    <pivotTable tabId="4" name="PivotTable1"/>
    <pivotTable tabId="4" name="PivotTable2"/>
    <pivotTable tabId="4" name="PivotTable3"/>
    <pivotTable tabId="4" name="PivotTable4"/>
  </pivotTables>
  <data>
    <tabular pivotCacheId="2102376004">
      <items count="15">
        <i x="13" s="1"/>
        <i x="5" s="1"/>
        <i x="10" s="1"/>
        <i x="9" s="1"/>
        <i x="2" s="1"/>
        <i x="1" s="1"/>
        <i x="3" s="1"/>
        <i x="7" s="1"/>
        <i x="11" s="1"/>
        <i x="6" s="1"/>
        <i x="0" s="1"/>
        <i x="8" s="1"/>
        <i x="12" s="1"/>
        <i x="4"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F8DA03D-CB4C-47D5-A8DE-38F1B55F15E0}" cache="Slicer_Region" caption="Region" columnCount="5" showCaption="0" style="121212" rowHeight="731520"/>
  <slicer name="Product" xr10:uid="{F3E50F00-7EBA-47B8-BB4B-F75A0AC7DC4A}" cache="Slicer_Product" caption="Product" style="121212" rowHeight="230716"/>
  <slicer name="Sales Person" xr10:uid="{82EF65E8-A416-4B62-91F2-CB10649578EE}" cache="Slicer_Sales_Person" caption="Sales Person" style="12121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Table" displayName="SalesDataTable" ref="A1:I301" totalsRowShown="0">
  <autoFilter ref="A1:I301" xr:uid="{00000000-0009-0000-0100-000001000000}"/>
  <tableColumns count="9">
    <tableColumn id="1" xr3:uid="{00000000-0010-0000-0000-000001000000}" name="Date"/>
    <tableColumn id="2" xr3:uid="{00000000-0010-0000-0000-000002000000}" name="Sales Person"/>
    <tableColumn id="3" xr3:uid="{00000000-0010-0000-0000-000003000000}" name="Region"/>
    <tableColumn id="4" xr3:uid="{00000000-0010-0000-0000-000004000000}" name="Product"/>
    <tableColumn id="5" xr3:uid="{00000000-0010-0000-0000-000005000000}" name="Units Sold"/>
    <tableColumn id="6" xr3:uid="{00000000-0010-0000-0000-000006000000}" name="Unit Price"/>
    <tableColumn id="7" xr3:uid="{00000000-0010-0000-0000-000007000000}" name="Cost of Goods"/>
    <tableColumn id="8" xr3:uid="{00000000-0010-0000-0000-000008000000}" name="Total Sales"/>
    <tableColumn id="9" xr3:uid="{5E48DE27-B58E-4DCA-B65B-FF537E839C62}" name="Profit" dataDxfId="1">
      <calculatedColumnFormula>SalesDataTable[[#This Row],[Total Sales]]-(SalesDataTable[[#This Row],[Cost of Goods]]*SalesDataTable[[#This Row],[Units Sold]])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F2225-DA5B-4700-9BDD-BA0463C86742}">
  <dimension ref="A3:K19"/>
  <sheetViews>
    <sheetView zoomScale="47" workbookViewId="0">
      <selection activeCell="Q40" sqref="Q40"/>
    </sheetView>
  </sheetViews>
  <sheetFormatPr defaultRowHeight="14"/>
  <cols>
    <col min="1" max="1" width="17.08203125" bestFit="1" customWidth="1"/>
    <col min="2" max="2" width="20.08203125" bestFit="1" customWidth="1"/>
    <col min="4" max="4" width="17.08203125" bestFit="1" customWidth="1"/>
    <col min="5" max="5" width="20.08203125" bestFit="1" customWidth="1"/>
    <col min="7" max="7" width="17.08203125" bestFit="1" customWidth="1"/>
    <col min="8" max="8" width="20.08203125" bestFit="1" customWidth="1"/>
    <col min="10" max="10" width="17.08203125" bestFit="1" customWidth="1"/>
    <col min="11" max="11" width="19.08203125" bestFit="1" customWidth="1"/>
    <col min="12" max="12" width="16.75" bestFit="1" customWidth="1"/>
  </cols>
  <sheetData>
    <row r="3" spans="1:11">
      <c r="A3" s="20" t="s">
        <v>43</v>
      </c>
      <c r="B3" t="s">
        <v>45</v>
      </c>
      <c r="D3" s="20" t="s">
        <v>43</v>
      </c>
      <c r="E3" t="s">
        <v>45</v>
      </c>
      <c r="G3" s="20" t="s">
        <v>43</v>
      </c>
      <c r="H3" t="s">
        <v>45</v>
      </c>
      <c r="J3" s="20" t="s">
        <v>43</v>
      </c>
      <c r="K3" t="s">
        <v>46</v>
      </c>
    </row>
    <row r="4" spans="1:11">
      <c r="A4" s="21" t="s">
        <v>9</v>
      </c>
      <c r="B4" s="22">
        <v>16548550</v>
      </c>
      <c r="D4" s="21" t="s">
        <v>36</v>
      </c>
      <c r="E4" s="22">
        <v>3655400</v>
      </c>
      <c r="G4" s="21" t="s">
        <v>24</v>
      </c>
      <c r="H4" s="22">
        <v>3648300</v>
      </c>
      <c r="J4" s="21" t="s">
        <v>24</v>
      </c>
      <c r="K4" s="23">
        <v>3053</v>
      </c>
    </row>
    <row r="5" spans="1:11">
      <c r="A5" s="21" t="s">
        <v>21</v>
      </c>
      <c r="B5" s="22">
        <v>16101150</v>
      </c>
      <c r="D5" s="21" t="s">
        <v>20</v>
      </c>
      <c r="E5" s="22">
        <v>5416650</v>
      </c>
      <c r="G5" s="21" t="s">
        <v>26</v>
      </c>
      <c r="H5" s="22">
        <v>7245200</v>
      </c>
      <c r="J5" s="21" t="s">
        <v>26</v>
      </c>
      <c r="K5" s="23">
        <v>2940</v>
      </c>
    </row>
    <row r="6" spans="1:11">
      <c r="A6" s="21" t="s">
        <v>16</v>
      </c>
      <c r="B6" s="22">
        <v>15283800</v>
      </c>
      <c r="D6" s="21" t="s">
        <v>32</v>
      </c>
      <c r="E6" s="22">
        <v>4494250</v>
      </c>
      <c r="G6" s="21" t="s">
        <v>10</v>
      </c>
      <c r="H6" s="22">
        <v>8723800</v>
      </c>
      <c r="J6" s="21" t="s">
        <v>10</v>
      </c>
      <c r="K6" s="23">
        <v>2457</v>
      </c>
    </row>
    <row r="7" spans="1:11">
      <c r="A7" s="21" t="s">
        <v>14</v>
      </c>
      <c r="B7" s="22">
        <v>19844250</v>
      </c>
      <c r="D7" s="21" t="s">
        <v>29</v>
      </c>
      <c r="E7" s="22">
        <v>5336400</v>
      </c>
      <c r="G7" s="21" t="s">
        <v>30</v>
      </c>
      <c r="H7" s="22">
        <v>10838800</v>
      </c>
      <c r="J7" s="21" t="s">
        <v>30</v>
      </c>
      <c r="K7" s="23">
        <v>2402</v>
      </c>
    </row>
    <row r="8" spans="1:11">
      <c r="A8" s="21" t="s">
        <v>12</v>
      </c>
      <c r="B8" s="22">
        <v>17948050</v>
      </c>
      <c r="D8" s="21" t="s">
        <v>13</v>
      </c>
      <c r="E8" s="22">
        <v>7310950</v>
      </c>
      <c r="G8" s="21" t="s">
        <v>18</v>
      </c>
      <c r="H8" s="22">
        <v>7341900</v>
      </c>
      <c r="J8" s="21" t="s">
        <v>18</v>
      </c>
      <c r="K8" s="23">
        <v>2439</v>
      </c>
    </row>
    <row r="9" spans="1:11">
      <c r="A9" s="21" t="s">
        <v>44</v>
      </c>
      <c r="B9" s="22">
        <v>85725800</v>
      </c>
      <c r="D9" s="21" t="s">
        <v>11</v>
      </c>
      <c r="E9" s="22">
        <v>7599000</v>
      </c>
      <c r="G9" s="21" t="s">
        <v>31</v>
      </c>
      <c r="H9" s="22">
        <v>1180200</v>
      </c>
      <c r="J9" s="21" t="s">
        <v>31</v>
      </c>
      <c r="K9" s="23">
        <v>1951</v>
      </c>
    </row>
    <row r="10" spans="1:11">
      <c r="D10" s="21" t="s">
        <v>17</v>
      </c>
      <c r="E10" s="22">
        <v>8080700</v>
      </c>
      <c r="G10" s="21" t="s">
        <v>22</v>
      </c>
      <c r="H10" s="22">
        <v>1877500</v>
      </c>
      <c r="J10" s="21" t="s">
        <v>22</v>
      </c>
      <c r="K10" s="23">
        <v>1832</v>
      </c>
    </row>
    <row r="11" spans="1:11">
      <c r="D11" s="21" t="s">
        <v>25</v>
      </c>
      <c r="E11" s="22">
        <v>6468600</v>
      </c>
      <c r="G11" s="21" t="s">
        <v>15</v>
      </c>
      <c r="H11" s="22">
        <v>21435000</v>
      </c>
      <c r="J11" s="21" t="s">
        <v>15</v>
      </c>
      <c r="K11" s="23">
        <v>2137</v>
      </c>
    </row>
    <row r="12" spans="1:11">
      <c r="D12" s="21" t="s">
        <v>34</v>
      </c>
      <c r="E12" s="22">
        <v>4907650</v>
      </c>
      <c r="G12" s="21" t="s">
        <v>28</v>
      </c>
      <c r="H12" s="22">
        <v>10402200</v>
      </c>
      <c r="J12" s="21" t="s">
        <v>28</v>
      </c>
      <c r="K12" s="23">
        <v>2539</v>
      </c>
    </row>
    <row r="13" spans="1:11">
      <c r="D13" s="21" t="s">
        <v>23</v>
      </c>
      <c r="E13" s="22">
        <v>4681300</v>
      </c>
      <c r="G13" s="21" t="s">
        <v>33</v>
      </c>
      <c r="H13" s="22">
        <v>13032900</v>
      </c>
      <c r="J13" s="21" t="s">
        <v>33</v>
      </c>
      <c r="K13" s="23">
        <v>2183</v>
      </c>
    </row>
    <row r="14" spans="1:11">
      <c r="D14" s="21" t="s">
        <v>8</v>
      </c>
      <c r="E14" s="22">
        <v>5231500</v>
      </c>
      <c r="G14" s="21" t="s">
        <v>44</v>
      </c>
      <c r="H14" s="22">
        <v>85725800</v>
      </c>
      <c r="J14" s="21" t="s">
        <v>44</v>
      </c>
      <c r="K14" s="23">
        <v>23933</v>
      </c>
    </row>
    <row r="15" spans="1:11">
      <c r="D15" s="21" t="s">
        <v>27</v>
      </c>
      <c r="E15" s="22">
        <v>5937050</v>
      </c>
    </row>
    <row r="16" spans="1:11">
      <c r="D16" s="21" t="s">
        <v>35</v>
      </c>
      <c r="E16" s="22">
        <v>6500250</v>
      </c>
    </row>
    <row r="17" spans="4:5">
      <c r="D17" s="21" t="s">
        <v>19</v>
      </c>
      <c r="E17" s="22">
        <v>5883600</v>
      </c>
    </row>
    <row r="18" spans="4:5">
      <c r="D18" s="21" t="s">
        <v>37</v>
      </c>
      <c r="E18" s="22">
        <v>4222500</v>
      </c>
    </row>
    <row r="19" spans="4:5">
      <c r="D19" s="21" t="s">
        <v>44</v>
      </c>
      <c r="E19" s="22">
        <v>85725800</v>
      </c>
    </row>
  </sheetData>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DCFED-E22B-44C8-9C72-073492ED39A9}">
  <dimension ref="A1"/>
  <sheetViews>
    <sheetView showGridLines="0" showRowColHeaders="0" zoomScale="59" zoomScaleNormal="85" workbookViewId="0">
      <selection activeCell="AB29" sqref="AB29"/>
    </sheetView>
  </sheetViews>
  <sheetFormatPr defaultRowHeight="1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1:M301"/>
  <sheetViews>
    <sheetView showGridLines="0" tabSelected="1" workbookViewId="0">
      <pane xSplit="2" ySplit="1" topLeftCell="C2" activePane="bottomRight" state="frozen"/>
      <selection pane="topRight"/>
      <selection pane="bottomLeft"/>
      <selection pane="bottomRight" activeCell="K7" sqref="K7"/>
    </sheetView>
  </sheetViews>
  <sheetFormatPr defaultRowHeight="14"/>
  <cols>
    <col min="1" max="1" width="13" customWidth="1"/>
    <col min="2" max="2" width="17" customWidth="1"/>
    <col min="3" max="3" width="12" customWidth="1"/>
    <col min="4" max="4" width="18" customWidth="1"/>
    <col min="5" max="5" width="12" customWidth="1"/>
    <col min="6" max="8" width="16" customWidth="1"/>
    <col min="9" max="9" width="9.75" bestFit="1" customWidth="1"/>
    <col min="13" max="13" width="13.33203125" bestFit="1" customWidth="1"/>
  </cols>
  <sheetData>
    <row r="1" spans="1:13" ht="25" customHeight="1">
      <c r="A1" s="1" t="s">
        <v>0</v>
      </c>
      <c r="B1" s="2" t="s">
        <v>1</v>
      </c>
      <c r="C1" s="2" t="s">
        <v>2</v>
      </c>
      <c r="D1" s="2" t="s">
        <v>3</v>
      </c>
      <c r="E1" s="2" t="s">
        <v>4</v>
      </c>
      <c r="F1" s="2" t="s">
        <v>5</v>
      </c>
      <c r="G1" s="2" t="s">
        <v>6</v>
      </c>
      <c r="H1" s="3" t="s">
        <v>7</v>
      </c>
      <c r="I1" s="17" t="s">
        <v>38</v>
      </c>
    </row>
    <row r="2" spans="1:13" ht="19" customHeight="1">
      <c r="A2" s="5">
        <v>45300</v>
      </c>
      <c r="B2" s="6" t="s">
        <v>8</v>
      </c>
      <c r="C2" s="6" t="s">
        <v>9</v>
      </c>
      <c r="D2" s="6" t="s">
        <v>10</v>
      </c>
      <c r="E2" s="7">
        <v>60</v>
      </c>
      <c r="F2" s="8">
        <v>3500</v>
      </c>
      <c r="G2" s="8">
        <v>2650</v>
      </c>
      <c r="H2" s="8">
        <f t="shared" ref="H2:H65" si="0">E2*F2</f>
        <v>210000</v>
      </c>
      <c r="I2" s="4">
        <f>SalesDataTable[[#This Row],[Total Sales]]-(SalesDataTable[[#This Row],[Cost of Goods]]*SalesDataTable[[#This Row],[Units Sold]])</f>
        <v>51000</v>
      </c>
    </row>
    <row r="3" spans="1:13" ht="19" customHeight="1">
      <c r="A3" s="9">
        <v>45301</v>
      </c>
      <c r="B3" s="10" t="s">
        <v>11</v>
      </c>
      <c r="C3" s="10" t="s">
        <v>12</v>
      </c>
      <c r="D3" s="10" t="s">
        <v>10</v>
      </c>
      <c r="E3" s="11">
        <v>71</v>
      </c>
      <c r="F3" s="12">
        <v>3500</v>
      </c>
      <c r="G3" s="12">
        <v>2500</v>
      </c>
      <c r="H3" s="12">
        <f t="shared" si="0"/>
        <v>248500</v>
      </c>
      <c r="I3" s="4">
        <f>SalesDataTable[[#This Row],[Total Sales]]-(SalesDataTable[[#This Row],[Cost of Goods]]*SalesDataTable[[#This Row],[Units Sold]])</f>
        <v>71000</v>
      </c>
    </row>
    <row r="4" spans="1:13" ht="19" customHeight="1">
      <c r="A4" s="9">
        <v>45301</v>
      </c>
      <c r="B4" s="10" t="s">
        <v>13</v>
      </c>
      <c r="C4" s="10" t="s">
        <v>14</v>
      </c>
      <c r="D4" s="10" t="s">
        <v>15</v>
      </c>
      <c r="E4" s="11">
        <v>103</v>
      </c>
      <c r="F4" s="12">
        <v>10000</v>
      </c>
      <c r="G4" s="12">
        <v>7000</v>
      </c>
      <c r="H4" s="12">
        <f t="shared" si="0"/>
        <v>1030000</v>
      </c>
      <c r="I4" s="4">
        <f>SalesDataTable[[#This Row],[Total Sales]]-(SalesDataTable[[#This Row],[Cost of Goods]]*SalesDataTable[[#This Row],[Units Sold]])</f>
        <v>309000</v>
      </c>
    </row>
    <row r="5" spans="1:13" ht="19" customHeight="1">
      <c r="A5" s="9">
        <v>45301</v>
      </c>
      <c r="B5" s="10" t="s">
        <v>13</v>
      </c>
      <c r="C5" s="10" t="s">
        <v>16</v>
      </c>
      <c r="D5" s="10" t="s">
        <v>10</v>
      </c>
      <c r="E5" s="11">
        <v>32</v>
      </c>
      <c r="F5" s="12">
        <v>3850</v>
      </c>
      <c r="G5" s="12">
        <v>2500</v>
      </c>
      <c r="H5" s="12">
        <f t="shared" si="0"/>
        <v>123200</v>
      </c>
      <c r="I5" s="4">
        <f>SalesDataTable[[#This Row],[Total Sales]]-(SalesDataTable[[#This Row],[Cost of Goods]]*SalesDataTable[[#This Row],[Units Sold]])</f>
        <v>43200</v>
      </c>
      <c r="M5" t="s">
        <v>39</v>
      </c>
    </row>
    <row r="6" spans="1:13" ht="19" customHeight="1">
      <c r="A6" s="9">
        <v>45305</v>
      </c>
      <c r="B6" s="10" t="s">
        <v>17</v>
      </c>
      <c r="C6" s="10" t="s">
        <v>9</v>
      </c>
      <c r="D6" s="10" t="s">
        <v>18</v>
      </c>
      <c r="E6" s="11">
        <v>120</v>
      </c>
      <c r="F6" s="12">
        <v>3300</v>
      </c>
      <c r="G6" s="12">
        <v>2000</v>
      </c>
      <c r="H6" s="12">
        <f t="shared" si="0"/>
        <v>396000</v>
      </c>
      <c r="I6" s="4">
        <f>SalesDataTable[[#This Row],[Total Sales]]-(SalesDataTable[[#This Row],[Cost of Goods]]*SalesDataTable[[#This Row],[Units Sold]])</f>
        <v>156000</v>
      </c>
      <c r="M6" s="18">
        <f>SUM(SalesDataTable[Total Sales])</f>
        <v>85725800</v>
      </c>
    </row>
    <row r="7" spans="1:13" ht="19" customHeight="1">
      <c r="A7" s="9">
        <v>45311</v>
      </c>
      <c r="B7" s="10" t="s">
        <v>19</v>
      </c>
      <c r="C7" s="10" t="s">
        <v>9</v>
      </c>
      <c r="D7" s="10" t="s">
        <v>18</v>
      </c>
      <c r="E7" s="11">
        <v>29</v>
      </c>
      <c r="F7" s="12">
        <v>3150</v>
      </c>
      <c r="G7" s="12">
        <v>2000</v>
      </c>
      <c r="H7" s="12">
        <f t="shared" si="0"/>
        <v>91350</v>
      </c>
      <c r="I7" s="4">
        <f>SalesDataTable[[#This Row],[Total Sales]]-(SalesDataTable[[#This Row],[Cost of Goods]]*SalesDataTable[[#This Row],[Units Sold]])</f>
        <v>33350</v>
      </c>
    </row>
    <row r="8" spans="1:13" ht="19" customHeight="1">
      <c r="A8" s="9">
        <v>45311</v>
      </c>
      <c r="B8" s="10" t="s">
        <v>20</v>
      </c>
      <c r="C8" s="10" t="s">
        <v>12</v>
      </c>
      <c r="D8" s="10" t="s">
        <v>10</v>
      </c>
      <c r="E8" s="11">
        <v>113</v>
      </c>
      <c r="F8" s="12">
        <v>3500</v>
      </c>
      <c r="G8" s="12">
        <v>2400</v>
      </c>
      <c r="H8" s="12">
        <f t="shared" si="0"/>
        <v>395500</v>
      </c>
      <c r="I8" s="4">
        <f>SalesDataTable[[#This Row],[Total Sales]]-(SalesDataTable[[#This Row],[Cost of Goods]]*SalesDataTable[[#This Row],[Units Sold]])</f>
        <v>124300</v>
      </c>
      <c r="M8" t="s">
        <v>40</v>
      </c>
    </row>
    <row r="9" spans="1:13" ht="19" customHeight="1">
      <c r="A9" s="9">
        <v>45315</v>
      </c>
      <c r="B9" s="10" t="s">
        <v>8</v>
      </c>
      <c r="C9" s="10" t="s">
        <v>21</v>
      </c>
      <c r="D9" s="10" t="s">
        <v>22</v>
      </c>
      <c r="E9" s="11">
        <v>133</v>
      </c>
      <c r="F9" s="12">
        <v>1100</v>
      </c>
      <c r="G9" s="12">
        <v>700</v>
      </c>
      <c r="H9" s="12">
        <f t="shared" si="0"/>
        <v>146300</v>
      </c>
      <c r="I9" s="4">
        <f>SalesDataTable[[#This Row],[Total Sales]]-(SalesDataTable[[#This Row],[Cost of Goods]]*SalesDataTable[[#This Row],[Units Sold]])</f>
        <v>53200</v>
      </c>
      <c r="M9" s="19">
        <f>SUM(SalesDataTable[Units Sold])</f>
        <v>23933</v>
      </c>
    </row>
    <row r="10" spans="1:13" ht="19" customHeight="1">
      <c r="A10" s="9">
        <v>45319</v>
      </c>
      <c r="B10" s="10" t="s">
        <v>23</v>
      </c>
      <c r="C10" s="10" t="s">
        <v>21</v>
      </c>
      <c r="D10" s="10" t="s">
        <v>24</v>
      </c>
      <c r="E10" s="11">
        <v>44</v>
      </c>
      <c r="F10" s="12">
        <v>1100</v>
      </c>
      <c r="G10" s="12">
        <v>800</v>
      </c>
      <c r="H10" s="12">
        <f t="shared" si="0"/>
        <v>48400</v>
      </c>
      <c r="I10" s="4">
        <f>SalesDataTable[[#This Row],[Total Sales]]-(SalesDataTable[[#This Row],[Cost of Goods]]*SalesDataTable[[#This Row],[Units Sold]])</f>
        <v>13200</v>
      </c>
    </row>
    <row r="11" spans="1:13" ht="19" customHeight="1">
      <c r="A11" s="9">
        <v>45321</v>
      </c>
      <c r="B11" s="10" t="s">
        <v>25</v>
      </c>
      <c r="C11" s="10" t="s">
        <v>9</v>
      </c>
      <c r="D11" s="10" t="s">
        <v>26</v>
      </c>
      <c r="E11" s="11">
        <v>87</v>
      </c>
      <c r="F11" s="12">
        <v>2500</v>
      </c>
      <c r="G11" s="12">
        <v>1700</v>
      </c>
      <c r="H11" s="12">
        <f t="shared" si="0"/>
        <v>217500</v>
      </c>
      <c r="I11" s="4">
        <f>SalesDataTable[[#This Row],[Total Sales]]-(SalesDataTable[[#This Row],[Cost of Goods]]*SalesDataTable[[#This Row],[Units Sold]])</f>
        <v>69600</v>
      </c>
      <c r="M11" t="s">
        <v>41</v>
      </c>
    </row>
    <row r="12" spans="1:13" ht="19" customHeight="1">
      <c r="A12" s="9">
        <v>45321</v>
      </c>
      <c r="B12" s="10" t="s">
        <v>27</v>
      </c>
      <c r="C12" s="10" t="s">
        <v>14</v>
      </c>
      <c r="D12" s="10" t="s">
        <v>28</v>
      </c>
      <c r="E12" s="11">
        <v>88</v>
      </c>
      <c r="F12" s="12">
        <v>4000</v>
      </c>
      <c r="G12" s="12">
        <v>2850</v>
      </c>
      <c r="H12" s="12">
        <f t="shared" si="0"/>
        <v>352000</v>
      </c>
      <c r="I12" s="4">
        <f>SalesDataTable[[#This Row],[Total Sales]]-(SalesDataTable[[#This Row],[Cost of Goods]]*SalesDataTable[[#This Row],[Units Sold]])</f>
        <v>101200</v>
      </c>
      <c r="M12" s="18">
        <f>SUM(SalesDataTable[Profit])</f>
        <v>26296950</v>
      </c>
    </row>
    <row r="13" spans="1:13" ht="19" customHeight="1">
      <c r="A13" s="9">
        <v>45323</v>
      </c>
      <c r="B13" s="10" t="s">
        <v>29</v>
      </c>
      <c r="C13" s="10" t="s">
        <v>12</v>
      </c>
      <c r="D13" s="10" t="s">
        <v>30</v>
      </c>
      <c r="E13" s="11">
        <v>73</v>
      </c>
      <c r="F13" s="12">
        <v>4750</v>
      </c>
      <c r="G13" s="12">
        <v>3200</v>
      </c>
      <c r="H13" s="12">
        <f t="shared" si="0"/>
        <v>346750</v>
      </c>
      <c r="I13" s="4">
        <f>SalesDataTable[[#This Row],[Total Sales]]-(SalesDataTable[[#This Row],[Cost of Goods]]*SalesDataTable[[#This Row],[Units Sold]])</f>
        <v>113150</v>
      </c>
    </row>
    <row r="14" spans="1:13" ht="19" customHeight="1">
      <c r="A14" s="9">
        <v>45324</v>
      </c>
      <c r="B14" s="10" t="s">
        <v>20</v>
      </c>
      <c r="C14" s="10" t="s">
        <v>9</v>
      </c>
      <c r="D14" s="10" t="s">
        <v>22</v>
      </c>
      <c r="E14" s="11">
        <v>63</v>
      </c>
      <c r="F14" s="12">
        <v>950</v>
      </c>
      <c r="G14" s="12">
        <v>700</v>
      </c>
      <c r="H14" s="12">
        <f t="shared" si="0"/>
        <v>59850</v>
      </c>
      <c r="I14" s="4">
        <f>SalesDataTable[[#This Row],[Total Sales]]-(SalesDataTable[[#This Row],[Cost of Goods]]*SalesDataTable[[#This Row],[Units Sold]])</f>
        <v>15750</v>
      </c>
      <c r="M14" t="s">
        <v>42</v>
      </c>
    </row>
    <row r="15" spans="1:13" ht="19" customHeight="1">
      <c r="A15" s="9">
        <v>45333</v>
      </c>
      <c r="B15" s="10" t="s">
        <v>23</v>
      </c>
      <c r="C15" s="10" t="s">
        <v>16</v>
      </c>
      <c r="D15" s="10" t="s">
        <v>31</v>
      </c>
      <c r="E15" s="11">
        <v>120</v>
      </c>
      <c r="F15" s="12">
        <v>550</v>
      </c>
      <c r="G15" s="12">
        <v>400</v>
      </c>
      <c r="H15" s="12">
        <f t="shared" si="0"/>
        <v>66000</v>
      </c>
      <c r="I15" s="4">
        <f>SalesDataTable[[#This Row],[Total Sales]]-(SalesDataTable[[#This Row],[Cost of Goods]]*SalesDataTable[[#This Row],[Units Sold]])</f>
        <v>18000</v>
      </c>
      <c r="M15">
        <f>AVERAGE(SalesDataTable[Total Sales])</f>
        <v>285752.66666666669</v>
      </c>
    </row>
    <row r="16" spans="1:13" ht="19" customHeight="1">
      <c r="A16" s="9">
        <v>45335</v>
      </c>
      <c r="B16" s="10" t="s">
        <v>32</v>
      </c>
      <c r="C16" s="10" t="s">
        <v>14</v>
      </c>
      <c r="D16" s="10" t="s">
        <v>10</v>
      </c>
      <c r="E16" s="11">
        <v>60</v>
      </c>
      <c r="F16" s="12">
        <v>3700</v>
      </c>
      <c r="G16" s="12">
        <v>2500</v>
      </c>
      <c r="H16" s="12">
        <f t="shared" si="0"/>
        <v>222000</v>
      </c>
      <c r="I16" s="4">
        <f>SalesDataTable[[#This Row],[Total Sales]]-(SalesDataTable[[#This Row],[Cost of Goods]]*SalesDataTable[[#This Row],[Units Sold]])</f>
        <v>72000</v>
      </c>
    </row>
    <row r="17" spans="1:9" ht="19" customHeight="1">
      <c r="A17" s="9">
        <v>45336</v>
      </c>
      <c r="B17" s="10" t="s">
        <v>27</v>
      </c>
      <c r="C17" s="10" t="s">
        <v>14</v>
      </c>
      <c r="D17" s="10" t="s">
        <v>30</v>
      </c>
      <c r="E17" s="11">
        <v>128</v>
      </c>
      <c r="F17" s="12">
        <v>4950</v>
      </c>
      <c r="G17" s="12">
        <v>3200</v>
      </c>
      <c r="H17" s="12">
        <f t="shared" si="0"/>
        <v>633600</v>
      </c>
      <c r="I17" s="4">
        <f>SalesDataTable[[#This Row],[Total Sales]]-(SalesDataTable[[#This Row],[Cost of Goods]]*SalesDataTable[[#This Row],[Units Sold]])</f>
        <v>224000</v>
      </c>
    </row>
    <row r="18" spans="1:9" ht="19" customHeight="1">
      <c r="A18" s="9">
        <v>45342</v>
      </c>
      <c r="B18" s="10" t="s">
        <v>11</v>
      </c>
      <c r="C18" s="10" t="s">
        <v>12</v>
      </c>
      <c r="D18" s="10" t="s">
        <v>33</v>
      </c>
      <c r="E18" s="11">
        <v>55</v>
      </c>
      <c r="F18" s="12">
        <v>6000</v>
      </c>
      <c r="G18" s="12">
        <v>4200</v>
      </c>
      <c r="H18" s="12">
        <f t="shared" si="0"/>
        <v>330000</v>
      </c>
      <c r="I18" s="4">
        <f>SalesDataTable[[#This Row],[Total Sales]]-(SalesDataTable[[#This Row],[Cost of Goods]]*SalesDataTable[[#This Row],[Units Sold]])</f>
        <v>99000</v>
      </c>
    </row>
    <row r="19" spans="1:9" ht="19" customHeight="1">
      <c r="A19" s="9">
        <v>45344</v>
      </c>
      <c r="B19" s="10" t="s">
        <v>19</v>
      </c>
      <c r="C19" s="10" t="s">
        <v>12</v>
      </c>
      <c r="D19" s="10" t="s">
        <v>15</v>
      </c>
      <c r="E19" s="11">
        <v>104</v>
      </c>
      <c r="F19" s="12">
        <v>10000</v>
      </c>
      <c r="G19" s="12">
        <v>7000</v>
      </c>
      <c r="H19" s="12">
        <f t="shared" si="0"/>
        <v>1040000</v>
      </c>
      <c r="I19" s="4">
        <f>SalesDataTable[[#This Row],[Total Sales]]-(SalesDataTable[[#This Row],[Cost of Goods]]*SalesDataTable[[#This Row],[Units Sold]])</f>
        <v>312000</v>
      </c>
    </row>
    <row r="20" spans="1:9" ht="19" customHeight="1">
      <c r="A20" s="9">
        <v>45347</v>
      </c>
      <c r="B20" s="10" t="s">
        <v>27</v>
      </c>
      <c r="C20" s="10" t="s">
        <v>9</v>
      </c>
      <c r="D20" s="10" t="s">
        <v>26</v>
      </c>
      <c r="E20" s="11">
        <v>77</v>
      </c>
      <c r="F20" s="12">
        <v>2500</v>
      </c>
      <c r="G20" s="12">
        <v>1600</v>
      </c>
      <c r="H20" s="12">
        <f t="shared" si="0"/>
        <v>192500</v>
      </c>
      <c r="I20" s="4">
        <f>SalesDataTable[[#This Row],[Total Sales]]-(SalesDataTable[[#This Row],[Cost of Goods]]*SalesDataTable[[#This Row],[Units Sold]])</f>
        <v>69300</v>
      </c>
    </row>
    <row r="21" spans="1:9" ht="19" customHeight="1">
      <c r="A21" s="9">
        <v>45347</v>
      </c>
      <c r="B21" s="10" t="s">
        <v>13</v>
      </c>
      <c r="C21" s="10" t="s">
        <v>12</v>
      </c>
      <c r="D21" s="10" t="s">
        <v>28</v>
      </c>
      <c r="E21" s="11">
        <v>70</v>
      </c>
      <c r="F21" s="12">
        <v>4400</v>
      </c>
      <c r="G21" s="12">
        <v>2850</v>
      </c>
      <c r="H21" s="12">
        <f t="shared" si="0"/>
        <v>308000</v>
      </c>
      <c r="I21" s="4">
        <f>SalesDataTable[[#This Row],[Total Sales]]-(SalesDataTable[[#This Row],[Cost of Goods]]*SalesDataTable[[#This Row],[Units Sold]])</f>
        <v>108500</v>
      </c>
    </row>
    <row r="22" spans="1:9" ht="19" customHeight="1">
      <c r="A22" s="9">
        <v>45349</v>
      </c>
      <c r="B22" s="10" t="s">
        <v>17</v>
      </c>
      <c r="C22" s="10" t="s">
        <v>12</v>
      </c>
      <c r="D22" s="10" t="s">
        <v>15</v>
      </c>
      <c r="E22" s="11">
        <v>27</v>
      </c>
      <c r="F22" s="12">
        <v>10000</v>
      </c>
      <c r="G22" s="12">
        <v>7350</v>
      </c>
      <c r="H22" s="12">
        <f t="shared" si="0"/>
        <v>270000</v>
      </c>
      <c r="I22" s="4">
        <f>SalesDataTable[[#This Row],[Total Sales]]-(SalesDataTable[[#This Row],[Cost of Goods]]*SalesDataTable[[#This Row],[Units Sold]])</f>
        <v>71550</v>
      </c>
    </row>
    <row r="23" spans="1:9" ht="19" customHeight="1">
      <c r="A23" s="9">
        <v>45349</v>
      </c>
      <c r="B23" s="10" t="s">
        <v>11</v>
      </c>
      <c r="C23" s="10" t="s">
        <v>9</v>
      </c>
      <c r="D23" s="10" t="s">
        <v>18</v>
      </c>
      <c r="E23" s="11">
        <v>103</v>
      </c>
      <c r="F23" s="12">
        <v>3000</v>
      </c>
      <c r="G23" s="12">
        <v>2100</v>
      </c>
      <c r="H23" s="12">
        <f t="shared" si="0"/>
        <v>309000</v>
      </c>
      <c r="I23" s="4">
        <f>SalesDataTable[[#This Row],[Total Sales]]-(SalesDataTable[[#This Row],[Cost of Goods]]*SalesDataTable[[#This Row],[Units Sold]])</f>
        <v>92700</v>
      </c>
    </row>
    <row r="24" spans="1:9" ht="19" customHeight="1">
      <c r="A24" s="9">
        <v>45357</v>
      </c>
      <c r="B24" s="10" t="s">
        <v>34</v>
      </c>
      <c r="C24" s="10" t="s">
        <v>16</v>
      </c>
      <c r="D24" s="10" t="s">
        <v>24</v>
      </c>
      <c r="E24" s="11">
        <v>127</v>
      </c>
      <c r="F24" s="12">
        <v>1200</v>
      </c>
      <c r="G24" s="12">
        <v>850</v>
      </c>
      <c r="H24" s="12">
        <f t="shared" si="0"/>
        <v>152400</v>
      </c>
      <c r="I24" s="4">
        <f>SalesDataTable[[#This Row],[Total Sales]]-(SalesDataTable[[#This Row],[Cost of Goods]]*SalesDataTable[[#This Row],[Units Sold]])</f>
        <v>44450</v>
      </c>
    </row>
    <row r="25" spans="1:9" ht="19" customHeight="1">
      <c r="A25" s="9">
        <v>45359</v>
      </c>
      <c r="B25" s="10" t="s">
        <v>34</v>
      </c>
      <c r="C25" s="10" t="s">
        <v>12</v>
      </c>
      <c r="D25" s="10" t="s">
        <v>28</v>
      </c>
      <c r="E25" s="11">
        <v>97</v>
      </c>
      <c r="F25" s="12">
        <v>4000</v>
      </c>
      <c r="G25" s="12">
        <v>3000</v>
      </c>
      <c r="H25" s="12">
        <f t="shared" si="0"/>
        <v>388000</v>
      </c>
      <c r="I25" s="4">
        <f>SalesDataTable[[#This Row],[Total Sales]]-(SalesDataTable[[#This Row],[Cost of Goods]]*SalesDataTable[[#This Row],[Units Sold]])</f>
        <v>97000</v>
      </c>
    </row>
    <row r="26" spans="1:9" ht="19" customHeight="1">
      <c r="A26" s="9">
        <v>45360</v>
      </c>
      <c r="B26" s="10" t="s">
        <v>8</v>
      </c>
      <c r="C26" s="10" t="s">
        <v>9</v>
      </c>
      <c r="D26" s="10" t="s">
        <v>33</v>
      </c>
      <c r="E26" s="11">
        <v>71</v>
      </c>
      <c r="F26" s="12">
        <v>6000</v>
      </c>
      <c r="G26" s="12">
        <v>4000</v>
      </c>
      <c r="H26" s="12">
        <f t="shared" si="0"/>
        <v>426000</v>
      </c>
      <c r="I26" s="4">
        <f>SalesDataTable[[#This Row],[Total Sales]]-(SalesDataTable[[#This Row],[Cost of Goods]]*SalesDataTable[[#This Row],[Units Sold]])</f>
        <v>142000</v>
      </c>
    </row>
    <row r="27" spans="1:9" ht="19" customHeight="1">
      <c r="A27" s="9">
        <v>45368</v>
      </c>
      <c r="B27" s="10" t="s">
        <v>13</v>
      </c>
      <c r="C27" s="10" t="s">
        <v>12</v>
      </c>
      <c r="D27" s="10" t="s">
        <v>33</v>
      </c>
      <c r="E27" s="11">
        <v>82</v>
      </c>
      <c r="F27" s="12">
        <v>6000</v>
      </c>
      <c r="G27" s="12">
        <v>4000</v>
      </c>
      <c r="H27" s="12">
        <f t="shared" si="0"/>
        <v>492000</v>
      </c>
      <c r="I27" s="4">
        <f>SalesDataTable[[#This Row],[Total Sales]]-(SalesDataTable[[#This Row],[Cost of Goods]]*SalesDataTable[[#This Row],[Units Sold]])</f>
        <v>164000</v>
      </c>
    </row>
    <row r="28" spans="1:9" ht="19" customHeight="1">
      <c r="A28" s="9">
        <v>45376</v>
      </c>
      <c r="B28" s="10" t="s">
        <v>35</v>
      </c>
      <c r="C28" s="10" t="s">
        <v>16</v>
      </c>
      <c r="D28" s="10" t="s">
        <v>30</v>
      </c>
      <c r="E28" s="11">
        <v>119</v>
      </c>
      <c r="F28" s="12">
        <v>4950</v>
      </c>
      <c r="G28" s="12">
        <v>3200</v>
      </c>
      <c r="H28" s="12">
        <f t="shared" si="0"/>
        <v>589050</v>
      </c>
      <c r="I28" s="4">
        <f>SalesDataTable[[#This Row],[Total Sales]]-(SalesDataTable[[#This Row],[Cost of Goods]]*SalesDataTable[[#This Row],[Units Sold]])</f>
        <v>208250</v>
      </c>
    </row>
    <row r="29" spans="1:9" ht="19" customHeight="1">
      <c r="A29" s="9">
        <v>45376</v>
      </c>
      <c r="B29" s="10" t="s">
        <v>27</v>
      </c>
      <c r="C29" s="10" t="s">
        <v>14</v>
      </c>
      <c r="D29" s="10" t="s">
        <v>33</v>
      </c>
      <c r="E29" s="11">
        <v>59</v>
      </c>
      <c r="F29" s="12">
        <v>6300</v>
      </c>
      <c r="G29" s="12">
        <v>4200</v>
      </c>
      <c r="H29" s="12">
        <f t="shared" si="0"/>
        <v>371700</v>
      </c>
      <c r="I29" s="4">
        <f>SalesDataTable[[#This Row],[Total Sales]]-(SalesDataTable[[#This Row],[Cost of Goods]]*SalesDataTable[[#This Row],[Units Sold]])</f>
        <v>123900</v>
      </c>
    </row>
    <row r="30" spans="1:9" ht="19" customHeight="1">
      <c r="A30" s="9">
        <v>45379</v>
      </c>
      <c r="B30" s="10" t="s">
        <v>35</v>
      </c>
      <c r="C30" s="10" t="s">
        <v>9</v>
      </c>
      <c r="D30" s="10" t="s">
        <v>33</v>
      </c>
      <c r="E30" s="11">
        <v>97</v>
      </c>
      <c r="F30" s="12">
        <v>5400</v>
      </c>
      <c r="G30" s="12">
        <v>4000</v>
      </c>
      <c r="H30" s="12">
        <f t="shared" si="0"/>
        <v>523800</v>
      </c>
      <c r="I30" s="4">
        <f>SalesDataTable[[#This Row],[Total Sales]]-(SalesDataTable[[#This Row],[Cost of Goods]]*SalesDataTable[[#This Row],[Units Sold]])</f>
        <v>135800</v>
      </c>
    </row>
    <row r="31" spans="1:9" ht="19" customHeight="1">
      <c r="A31" s="9">
        <v>45381</v>
      </c>
      <c r="B31" s="10" t="s">
        <v>20</v>
      </c>
      <c r="C31" s="10" t="s">
        <v>9</v>
      </c>
      <c r="D31" s="10" t="s">
        <v>15</v>
      </c>
      <c r="E31" s="11">
        <v>45</v>
      </c>
      <c r="F31" s="12">
        <v>10000</v>
      </c>
      <c r="G31" s="12">
        <v>7000</v>
      </c>
      <c r="H31" s="12">
        <f t="shared" si="0"/>
        <v>450000</v>
      </c>
      <c r="I31" s="4">
        <f>SalesDataTable[[#This Row],[Total Sales]]-(SalesDataTable[[#This Row],[Cost of Goods]]*SalesDataTable[[#This Row],[Units Sold]])</f>
        <v>135000</v>
      </c>
    </row>
    <row r="32" spans="1:9" ht="19" customHeight="1">
      <c r="A32" s="9">
        <v>45383</v>
      </c>
      <c r="B32" s="10" t="s">
        <v>27</v>
      </c>
      <c r="C32" s="10" t="s">
        <v>12</v>
      </c>
      <c r="D32" s="10" t="s">
        <v>24</v>
      </c>
      <c r="E32" s="11">
        <v>71</v>
      </c>
      <c r="F32" s="12">
        <v>1100</v>
      </c>
      <c r="G32" s="12">
        <v>850</v>
      </c>
      <c r="H32" s="12">
        <f t="shared" si="0"/>
        <v>78100</v>
      </c>
      <c r="I32" s="4">
        <f>SalesDataTable[[#This Row],[Total Sales]]-(SalesDataTable[[#This Row],[Cost of Goods]]*SalesDataTable[[#This Row],[Units Sold]])</f>
        <v>17750</v>
      </c>
    </row>
    <row r="33" spans="1:9" ht="19" customHeight="1">
      <c r="A33" s="9">
        <v>45385</v>
      </c>
      <c r="B33" s="10" t="s">
        <v>11</v>
      </c>
      <c r="C33" s="10" t="s">
        <v>14</v>
      </c>
      <c r="D33" s="10" t="s">
        <v>28</v>
      </c>
      <c r="E33" s="11">
        <v>149</v>
      </c>
      <c r="F33" s="12">
        <v>4400</v>
      </c>
      <c r="G33" s="12">
        <v>3150</v>
      </c>
      <c r="H33" s="12">
        <f t="shared" si="0"/>
        <v>655600</v>
      </c>
      <c r="I33" s="4">
        <f>SalesDataTable[[#This Row],[Total Sales]]-(SalesDataTable[[#This Row],[Cost of Goods]]*SalesDataTable[[#This Row],[Units Sold]])</f>
        <v>186250</v>
      </c>
    </row>
    <row r="34" spans="1:9" ht="19" customHeight="1">
      <c r="A34" s="9">
        <v>45385</v>
      </c>
      <c r="B34" s="10" t="s">
        <v>36</v>
      </c>
      <c r="C34" s="10" t="s">
        <v>16</v>
      </c>
      <c r="D34" s="10" t="s">
        <v>24</v>
      </c>
      <c r="E34" s="11">
        <v>141</v>
      </c>
      <c r="F34" s="12">
        <v>1200</v>
      </c>
      <c r="G34" s="12">
        <v>850</v>
      </c>
      <c r="H34" s="12">
        <f t="shared" si="0"/>
        <v>169200</v>
      </c>
      <c r="I34" s="4">
        <f>SalesDataTable[[#This Row],[Total Sales]]-(SalesDataTable[[#This Row],[Cost of Goods]]*SalesDataTable[[#This Row],[Units Sold]])</f>
        <v>49350</v>
      </c>
    </row>
    <row r="35" spans="1:9" ht="19" customHeight="1">
      <c r="A35" s="9">
        <v>45390</v>
      </c>
      <c r="B35" s="10" t="s">
        <v>11</v>
      </c>
      <c r="C35" s="10" t="s">
        <v>12</v>
      </c>
      <c r="D35" s="10" t="s">
        <v>28</v>
      </c>
      <c r="E35" s="11">
        <v>26</v>
      </c>
      <c r="F35" s="12">
        <v>4000</v>
      </c>
      <c r="G35" s="12">
        <v>3000</v>
      </c>
      <c r="H35" s="12">
        <f t="shared" si="0"/>
        <v>104000</v>
      </c>
      <c r="I35" s="4">
        <f>SalesDataTable[[#This Row],[Total Sales]]-(SalesDataTable[[#This Row],[Cost of Goods]]*SalesDataTable[[#This Row],[Units Sold]])</f>
        <v>26000</v>
      </c>
    </row>
    <row r="36" spans="1:9" ht="19" customHeight="1">
      <c r="A36" s="9">
        <v>45397</v>
      </c>
      <c r="B36" s="10" t="s">
        <v>17</v>
      </c>
      <c r="C36" s="10" t="s">
        <v>21</v>
      </c>
      <c r="D36" s="10" t="s">
        <v>26</v>
      </c>
      <c r="E36" s="11">
        <v>137</v>
      </c>
      <c r="F36" s="12">
        <v>2500</v>
      </c>
      <c r="G36" s="12">
        <v>1600</v>
      </c>
      <c r="H36" s="12">
        <f t="shared" si="0"/>
        <v>342500</v>
      </c>
      <c r="I36" s="4">
        <f>SalesDataTable[[#This Row],[Total Sales]]-(SalesDataTable[[#This Row],[Cost of Goods]]*SalesDataTable[[#This Row],[Units Sold]])</f>
        <v>123300</v>
      </c>
    </row>
    <row r="37" spans="1:9" ht="19" customHeight="1">
      <c r="A37" s="9">
        <v>45399</v>
      </c>
      <c r="B37" s="10" t="s">
        <v>27</v>
      </c>
      <c r="C37" s="10" t="s">
        <v>14</v>
      </c>
      <c r="D37" s="10" t="s">
        <v>28</v>
      </c>
      <c r="E37" s="11">
        <v>65</v>
      </c>
      <c r="F37" s="12">
        <v>4200</v>
      </c>
      <c r="G37" s="12">
        <v>3000</v>
      </c>
      <c r="H37" s="12">
        <f t="shared" si="0"/>
        <v>273000</v>
      </c>
      <c r="I37" s="4">
        <f>SalesDataTable[[#This Row],[Total Sales]]-(SalesDataTable[[#This Row],[Cost of Goods]]*SalesDataTable[[#This Row],[Units Sold]])</f>
        <v>78000</v>
      </c>
    </row>
    <row r="38" spans="1:9" ht="19" customHeight="1">
      <c r="A38" s="9">
        <v>45400</v>
      </c>
      <c r="B38" s="10" t="s">
        <v>36</v>
      </c>
      <c r="C38" s="10" t="s">
        <v>21</v>
      </c>
      <c r="D38" s="10" t="s">
        <v>33</v>
      </c>
      <c r="E38" s="11">
        <v>56</v>
      </c>
      <c r="F38" s="12">
        <v>5700</v>
      </c>
      <c r="G38" s="12">
        <v>3800</v>
      </c>
      <c r="H38" s="12">
        <f t="shared" si="0"/>
        <v>319200</v>
      </c>
      <c r="I38" s="4">
        <f>SalesDataTable[[#This Row],[Total Sales]]-(SalesDataTable[[#This Row],[Cost of Goods]]*SalesDataTable[[#This Row],[Units Sold]])</f>
        <v>106400</v>
      </c>
    </row>
    <row r="39" spans="1:9" ht="19" customHeight="1">
      <c r="A39" s="9">
        <v>45404</v>
      </c>
      <c r="B39" s="10" t="s">
        <v>17</v>
      </c>
      <c r="C39" s="10" t="s">
        <v>14</v>
      </c>
      <c r="D39" s="10" t="s">
        <v>18</v>
      </c>
      <c r="E39" s="11">
        <v>33</v>
      </c>
      <c r="F39" s="12">
        <v>3000</v>
      </c>
      <c r="G39" s="12">
        <v>2200</v>
      </c>
      <c r="H39" s="12">
        <f t="shared" si="0"/>
        <v>99000</v>
      </c>
      <c r="I39" s="4">
        <f>SalesDataTable[[#This Row],[Total Sales]]-(SalesDataTable[[#This Row],[Cost of Goods]]*SalesDataTable[[#This Row],[Units Sold]])</f>
        <v>26400</v>
      </c>
    </row>
    <row r="40" spans="1:9" ht="19" customHeight="1">
      <c r="A40" s="9">
        <v>45404</v>
      </c>
      <c r="B40" s="10" t="s">
        <v>17</v>
      </c>
      <c r="C40" s="10" t="s">
        <v>21</v>
      </c>
      <c r="D40" s="10" t="s">
        <v>33</v>
      </c>
      <c r="E40" s="11">
        <v>34</v>
      </c>
      <c r="F40" s="12">
        <v>5700</v>
      </c>
      <c r="G40" s="12">
        <v>4200</v>
      </c>
      <c r="H40" s="12">
        <f t="shared" si="0"/>
        <v>193800</v>
      </c>
      <c r="I40" s="4">
        <f>SalesDataTable[[#This Row],[Total Sales]]-(SalesDataTable[[#This Row],[Cost of Goods]]*SalesDataTable[[#This Row],[Units Sold]])</f>
        <v>51000</v>
      </c>
    </row>
    <row r="41" spans="1:9" ht="19" customHeight="1">
      <c r="A41" s="9">
        <v>45409</v>
      </c>
      <c r="B41" s="10" t="s">
        <v>23</v>
      </c>
      <c r="C41" s="10" t="s">
        <v>14</v>
      </c>
      <c r="D41" s="10" t="s">
        <v>33</v>
      </c>
      <c r="E41" s="11">
        <v>95</v>
      </c>
      <c r="F41" s="12">
        <v>6000</v>
      </c>
      <c r="G41" s="12">
        <v>4000</v>
      </c>
      <c r="H41" s="12">
        <f t="shared" si="0"/>
        <v>570000</v>
      </c>
      <c r="I41" s="4">
        <f>SalesDataTable[[#This Row],[Total Sales]]-(SalesDataTable[[#This Row],[Cost of Goods]]*SalesDataTable[[#This Row],[Units Sold]])</f>
        <v>190000</v>
      </c>
    </row>
    <row r="42" spans="1:9" ht="19" customHeight="1">
      <c r="A42" s="9">
        <v>45411</v>
      </c>
      <c r="B42" s="10" t="s">
        <v>20</v>
      </c>
      <c r="C42" s="10" t="s">
        <v>12</v>
      </c>
      <c r="D42" s="10" t="s">
        <v>31</v>
      </c>
      <c r="E42" s="11">
        <v>74</v>
      </c>
      <c r="F42" s="12">
        <v>650</v>
      </c>
      <c r="G42" s="12">
        <v>400</v>
      </c>
      <c r="H42" s="12">
        <f t="shared" si="0"/>
        <v>48100</v>
      </c>
      <c r="I42" s="4">
        <f>SalesDataTable[[#This Row],[Total Sales]]-(SalesDataTable[[#This Row],[Cost of Goods]]*SalesDataTable[[#This Row],[Units Sold]])</f>
        <v>18500</v>
      </c>
    </row>
    <row r="43" spans="1:9" ht="19" customHeight="1">
      <c r="A43" s="9">
        <v>45412</v>
      </c>
      <c r="B43" s="10" t="s">
        <v>32</v>
      </c>
      <c r="C43" s="10" t="s">
        <v>16</v>
      </c>
      <c r="D43" s="10" t="s">
        <v>10</v>
      </c>
      <c r="E43" s="11">
        <v>143</v>
      </c>
      <c r="F43" s="12">
        <v>3500</v>
      </c>
      <c r="G43" s="12">
        <v>2400</v>
      </c>
      <c r="H43" s="12">
        <f t="shared" si="0"/>
        <v>500500</v>
      </c>
      <c r="I43" s="4">
        <f>SalesDataTable[[#This Row],[Total Sales]]-(SalesDataTable[[#This Row],[Cost of Goods]]*SalesDataTable[[#This Row],[Units Sold]])</f>
        <v>157300</v>
      </c>
    </row>
    <row r="44" spans="1:9" ht="19" customHeight="1">
      <c r="A44" s="9">
        <v>45416</v>
      </c>
      <c r="B44" s="10" t="s">
        <v>23</v>
      </c>
      <c r="C44" s="10" t="s">
        <v>14</v>
      </c>
      <c r="D44" s="10" t="s">
        <v>28</v>
      </c>
      <c r="E44" s="11">
        <v>119</v>
      </c>
      <c r="F44" s="12">
        <v>4400</v>
      </c>
      <c r="G44" s="12">
        <v>2850</v>
      </c>
      <c r="H44" s="12">
        <f t="shared" si="0"/>
        <v>523600</v>
      </c>
      <c r="I44" s="4">
        <f>SalesDataTable[[#This Row],[Total Sales]]-(SalesDataTable[[#This Row],[Cost of Goods]]*SalesDataTable[[#This Row],[Units Sold]])</f>
        <v>184450</v>
      </c>
    </row>
    <row r="45" spans="1:9" ht="19" customHeight="1">
      <c r="A45" s="9">
        <v>45419</v>
      </c>
      <c r="B45" s="10" t="s">
        <v>25</v>
      </c>
      <c r="C45" s="10" t="s">
        <v>21</v>
      </c>
      <c r="D45" s="10" t="s">
        <v>30</v>
      </c>
      <c r="E45" s="11">
        <v>83</v>
      </c>
      <c r="F45" s="12">
        <v>4750</v>
      </c>
      <c r="G45" s="12">
        <v>3200</v>
      </c>
      <c r="H45" s="12">
        <f t="shared" si="0"/>
        <v>394250</v>
      </c>
      <c r="I45" s="4">
        <f>SalesDataTable[[#This Row],[Total Sales]]-(SalesDataTable[[#This Row],[Cost of Goods]]*SalesDataTable[[#This Row],[Units Sold]])</f>
        <v>128650</v>
      </c>
    </row>
    <row r="46" spans="1:9" ht="19" customHeight="1">
      <c r="A46" s="9">
        <v>45419</v>
      </c>
      <c r="B46" s="10" t="s">
        <v>25</v>
      </c>
      <c r="C46" s="10" t="s">
        <v>16</v>
      </c>
      <c r="D46" s="10" t="s">
        <v>30</v>
      </c>
      <c r="E46" s="11">
        <v>122</v>
      </c>
      <c r="F46" s="12">
        <v>4300</v>
      </c>
      <c r="G46" s="12">
        <v>3200</v>
      </c>
      <c r="H46" s="12">
        <f t="shared" si="0"/>
        <v>524600</v>
      </c>
      <c r="I46" s="4">
        <f>SalesDataTable[[#This Row],[Total Sales]]-(SalesDataTable[[#This Row],[Cost of Goods]]*SalesDataTable[[#This Row],[Units Sold]])</f>
        <v>134200</v>
      </c>
    </row>
    <row r="47" spans="1:9" ht="19" customHeight="1">
      <c r="A47" s="9">
        <v>45419</v>
      </c>
      <c r="B47" s="10" t="s">
        <v>17</v>
      </c>
      <c r="C47" s="10" t="s">
        <v>14</v>
      </c>
      <c r="D47" s="10" t="s">
        <v>22</v>
      </c>
      <c r="E47" s="11">
        <v>66</v>
      </c>
      <c r="F47" s="12">
        <v>1050</v>
      </c>
      <c r="G47" s="12">
        <v>700</v>
      </c>
      <c r="H47" s="12">
        <f t="shared" si="0"/>
        <v>69300</v>
      </c>
      <c r="I47" s="4">
        <f>SalesDataTable[[#This Row],[Total Sales]]-(SalesDataTable[[#This Row],[Cost of Goods]]*SalesDataTable[[#This Row],[Units Sold]])</f>
        <v>23100</v>
      </c>
    </row>
    <row r="48" spans="1:9" ht="19" customHeight="1">
      <c r="A48" s="9">
        <v>45423</v>
      </c>
      <c r="B48" s="10" t="s">
        <v>35</v>
      </c>
      <c r="C48" s="10" t="s">
        <v>9</v>
      </c>
      <c r="D48" s="10" t="s">
        <v>30</v>
      </c>
      <c r="E48" s="11">
        <v>28</v>
      </c>
      <c r="F48" s="12">
        <v>4300</v>
      </c>
      <c r="G48" s="12">
        <v>3050</v>
      </c>
      <c r="H48" s="12">
        <f t="shared" si="0"/>
        <v>120400</v>
      </c>
      <c r="I48" s="4">
        <f>SalesDataTable[[#This Row],[Total Sales]]-(SalesDataTable[[#This Row],[Cost of Goods]]*SalesDataTable[[#This Row],[Units Sold]])</f>
        <v>35000</v>
      </c>
    </row>
    <row r="49" spans="1:9" ht="19" customHeight="1">
      <c r="A49" s="9">
        <v>45425</v>
      </c>
      <c r="B49" s="10" t="s">
        <v>20</v>
      </c>
      <c r="C49" s="10" t="s">
        <v>12</v>
      </c>
      <c r="D49" s="10" t="s">
        <v>24</v>
      </c>
      <c r="E49" s="11">
        <v>95</v>
      </c>
      <c r="F49" s="12">
        <v>1100</v>
      </c>
      <c r="G49" s="12">
        <v>800</v>
      </c>
      <c r="H49" s="12">
        <f t="shared" si="0"/>
        <v>104500</v>
      </c>
      <c r="I49" s="4">
        <f>SalesDataTable[[#This Row],[Total Sales]]-(SalesDataTable[[#This Row],[Cost of Goods]]*SalesDataTable[[#This Row],[Units Sold]])</f>
        <v>28500</v>
      </c>
    </row>
    <row r="50" spans="1:9" ht="19" customHeight="1">
      <c r="A50" s="9">
        <v>45425</v>
      </c>
      <c r="B50" s="10" t="s">
        <v>17</v>
      </c>
      <c r="C50" s="10" t="s">
        <v>14</v>
      </c>
      <c r="D50" s="10" t="s">
        <v>22</v>
      </c>
      <c r="E50" s="11">
        <v>79</v>
      </c>
      <c r="F50" s="12">
        <v>1100</v>
      </c>
      <c r="G50" s="12">
        <v>750</v>
      </c>
      <c r="H50" s="12">
        <f t="shared" si="0"/>
        <v>86900</v>
      </c>
      <c r="I50" s="4">
        <f>SalesDataTable[[#This Row],[Total Sales]]-(SalesDataTable[[#This Row],[Cost of Goods]]*SalesDataTable[[#This Row],[Units Sold]])</f>
        <v>27650</v>
      </c>
    </row>
    <row r="51" spans="1:9" ht="19" customHeight="1">
      <c r="A51" s="9">
        <v>45428</v>
      </c>
      <c r="B51" s="10" t="s">
        <v>19</v>
      </c>
      <c r="C51" s="10" t="s">
        <v>14</v>
      </c>
      <c r="D51" s="10" t="s">
        <v>18</v>
      </c>
      <c r="E51" s="11">
        <v>80</v>
      </c>
      <c r="F51" s="12">
        <v>3000</v>
      </c>
      <c r="G51" s="12">
        <v>2100</v>
      </c>
      <c r="H51" s="12">
        <f t="shared" si="0"/>
        <v>240000</v>
      </c>
      <c r="I51" s="4">
        <f>SalesDataTable[[#This Row],[Total Sales]]-(SalesDataTable[[#This Row],[Cost of Goods]]*SalesDataTable[[#This Row],[Units Sold]])</f>
        <v>72000</v>
      </c>
    </row>
    <row r="52" spans="1:9" ht="19" customHeight="1">
      <c r="A52" s="9">
        <v>45431</v>
      </c>
      <c r="B52" s="10" t="s">
        <v>29</v>
      </c>
      <c r="C52" s="10" t="s">
        <v>14</v>
      </c>
      <c r="D52" s="10" t="s">
        <v>26</v>
      </c>
      <c r="E52" s="11">
        <v>39</v>
      </c>
      <c r="F52" s="12">
        <v>2500</v>
      </c>
      <c r="G52" s="12">
        <v>1600</v>
      </c>
      <c r="H52" s="12">
        <f t="shared" si="0"/>
        <v>97500</v>
      </c>
      <c r="I52" s="4">
        <f>SalesDataTable[[#This Row],[Total Sales]]-(SalesDataTable[[#This Row],[Cost of Goods]]*SalesDataTable[[#This Row],[Units Sold]])</f>
        <v>35100</v>
      </c>
    </row>
    <row r="53" spans="1:9" ht="19" customHeight="1">
      <c r="A53" s="9">
        <v>45436</v>
      </c>
      <c r="B53" s="10" t="s">
        <v>8</v>
      </c>
      <c r="C53" s="10" t="s">
        <v>9</v>
      </c>
      <c r="D53" s="10" t="s">
        <v>22</v>
      </c>
      <c r="E53" s="11">
        <v>55</v>
      </c>
      <c r="F53" s="12">
        <v>1000</v>
      </c>
      <c r="G53" s="12">
        <v>650</v>
      </c>
      <c r="H53" s="12">
        <f t="shared" si="0"/>
        <v>55000</v>
      </c>
      <c r="I53" s="4">
        <f>SalesDataTable[[#This Row],[Total Sales]]-(SalesDataTable[[#This Row],[Cost of Goods]]*SalesDataTable[[#This Row],[Units Sold]])</f>
        <v>19250</v>
      </c>
    </row>
    <row r="54" spans="1:9" ht="19" customHeight="1">
      <c r="A54" s="9">
        <v>45436</v>
      </c>
      <c r="B54" s="10" t="s">
        <v>32</v>
      </c>
      <c r="C54" s="10" t="s">
        <v>16</v>
      </c>
      <c r="D54" s="10" t="s">
        <v>33</v>
      </c>
      <c r="E54" s="11">
        <v>57</v>
      </c>
      <c r="F54" s="12">
        <v>5700</v>
      </c>
      <c r="G54" s="12">
        <v>4000</v>
      </c>
      <c r="H54" s="12">
        <f t="shared" si="0"/>
        <v>324900</v>
      </c>
      <c r="I54" s="4">
        <f>SalesDataTable[[#This Row],[Total Sales]]-(SalesDataTable[[#This Row],[Cost of Goods]]*SalesDataTable[[#This Row],[Units Sold]])</f>
        <v>96900</v>
      </c>
    </row>
    <row r="55" spans="1:9" ht="19" customHeight="1">
      <c r="A55" s="9">
        <v>45439</v>
      </c>
      <c r="B55" s="10" t="s">
        <v>17</v>
      </c>
      <c r="C55" s="10" t="s">
        <v>14</v>
      </c>
      <c r="D55" s="10" t="s">
        <v>33</v>
      </c>
      <c r="E55" s="11">
        <v>39</v>
      </c>
      <c r="F55" s="12">
        <v>6000</v>
      </c>
      <c r="G55" s="12">
        <v>3800</v>
      </c>
      <c r="H55" s="12">
        <f t="shared" si="0"/>
        <v>234000</v>
      </c>
      <c r="I55" s="4">
        <f>SalesDataTable[[#This Row],[Total Sales]]-(SalesDataTable[[#This Row],[Cost of Goods]]*SalesDataTable[[#This Row],[Units Sold]])</f>
        <v>85800</v>
      </c>
    </row>
    <row r="56" spans="1:9" ht="19" customHeight="1">
      <c r="A56" s="9">
        <v>45446</v>
      </c>
      <c r="B56" s="10" t="s">
        <v>20</v>
      </c>
      <c r="C56" s="10" t="s">
        <v>9</v>
      </c>
      <c r="D56" s="10" t="s">
        <v>24</v>
      </c>
      <c r="E56" s="11">
        <v>20</v>
      </c>
      <c r="F56" s="12">
        <v>1200</v>
      </c>
      <c r="G56" s="12">
        <v>800</v>
      </c>
      <c r="H56" s="12">
        <f t="shared" si="0"/>
        <v>24000</v>
      </c>
      <c r="I56" s="4">
        <f>SalesDataTable[[#This Row],[Total Sales]]-(SalesDataTable[[#This Row],[Cost of Goods]]*SalesDataTable[[#This Row],[Units Sold]])</f>
        <v>8000</v>
      </c>
    </row>
    <row r="57" spans="1:9" ht="19" customHeight="1">
      <c r="A57" s="9">
        <v>45451</v>
      </c>
      <c r="B57" s="10" t="s">
        <v>29</v>
      </c>
      <c r="C57" s="10" t="s">
        <v>16</v>
      </c>
      <c r="D57" s="10" t="s">
        <v>33</v>
      </c>
      <c r="E57" s="11">
        <v>86</v>
      </c>
      <c r="F57" s="12">
        <v>5700</v>
      </c>
      <c r="G57" s="12">
        <v>4200</v>
      </c>
      <c r="H57" s="12">
        <f t="shared" si="0"/>
        <v>490200</v>
      </c>
      <c r="I57" s="4">
        <f>SalesDataTable[[#This Row],[Total Sales]]-(SalesDataTable[[#This Row],[Cost of Goods]]*SalesDataTable[[#This Row],[Units Sold]])</f>
        <v>129000</v>
      </c>
    </row>
    <row r="58" spans="1:9" ht="19" customHeight="1">
      <c r="A58" s="9">
        <v>45452</v>
      </c>
      <c r="B58" s="10" t="s">
        <v>32</v>
      </c>
      <c r="C58" s="10" t="s">
        <v>14</v>
      </c>
      <c r="D58" s="10" t="s">
        <v>33</v>
      </c>
      <c r="E58" s="11">
        <v>65</v>
      </c>
      <c r="F58" s="12">
        <v>6300</v>
      </c>
      <c r="G58" s="12">
        <v>4200</v>
      </c>
      <c r="H58" s="12">
        <f t="shared" si="0"/>
        <v>409500</v>
      </c>
      <c r="I58" s="4">
        <f>SalesDataTable[[#This Row],[Total Sales]]-(SalesDataTable[[#This Row],[Cost of Goods]]*SalesDataTable[[#This Row],[Units Sold]])</f>
        <v>136500</v>
      </c>
    </row>
    <row r="59" spans="1:9" ht="19" customHeight="1">
      <c r="A59" s="9">
        <v>45452</v>
      </c>
      <c r="B59" s="10" t="s">
        <v>29</v>
      </c>
      <c r="C59" s="10" t="s">
        <v>14</v>
      </c>
      <c r="D59" s="10" t="s">
        <v>22</v>
      </c>
      <c r="E59" s="11">
        <v>31</v>
      </c>
      <c r="F59" s="12">
        <v>1000</v>
      </c>
      <c r="G59" s="12">
        <v>700</v>
      </c>
      <c r="H59" s="12">
        <f t="shared" si="0"/>
        <v>31000</v>
      </c>
      <c r="I59" s="4">
        <f>SalesDataTable[[#This Row],[Total Sales]]-(SalesDataTable[[#This Row],[Cost of Goods]]*SalesDataTable[[#This Row],[Units Sold]])</f>
        <v>9300</v>
      </c>
    </row>
    <row r="60" spans="1:9" ht="19" customHeight="1">
      <c r="A60" s="9">
        <v>45452</v>
      </c>
      <c r="B60" s="10" t="s">
        <v>29</v>
      </c>
      <c r="C60" s="10" t="s">
        <v>16</v>
      </c>
      <c r="D60" s="10" t="s">
        <v>24</v>
      </c>
      <c r="E60" s="11">
        <v>93</v>
      </c>
      <c r="F60" s="12">
        <v>1150</v>
      </c>
      <c r="G60" s="12">
        <v>800</v>
      </c>
      <c r="H60" s="12">
        <f t="shared" si="0"/>
        <v>106950</v>
      </c>
      <c r="I60" s="4">
        <f>SalesDataTable[[#This Row],[Total Sales]]-(SalesDataTable[[#This Row],[Cost of Goods]]*SalesDataTable[[#This Row],[Units Sold]])</f>
        <v>32550</v>
      </c>
    </row>
    <row r="61" spans="1:9" ht="19" customHeight="1">
      <c r="A61" s="9">
        <v>45456</v>
      </c>
      <c r="B61" s="10" t="s">
        <v>19</v>
      </c>
      <c r="C61" s="10" t="s">
        <v>9</v>
      </c>
      <c r="D61" s="10" t="s">
        <v>26</v>
      </c>
      <c r="E61" s="11">
        <v>71</v>
      </c>
      <c r="F61" s="12">
        <v>2500</v>
      </c>
      <c r="G61" s="12">
        <v>1600</v>
      </c>
      <c r="H61" s="12">
        <f t="shared" si="0"/>
        <v>177500</v>
      </c>
      <c r="I61" s="4">
        <f>SalesDataTable[[#This Row],[Total Sales]]-(SalesDataTable[[#This Row],[Cost of Goods]]*SalesDataTable[[#This Row],[Units Sold]])</f>
        <v>63900</v>
      </c>
    </row>
    <row r="62" spans="1:9" ht="19" customHeight="1">
      <c r="A62" s="9">
        <v>45457</v>
      </c>
      <c r="B62" s="10" t="s">
        <v>25</v>
      </c>
      <c r="C62" s="10" t="s">
        <v>9</v>
      </c>
      <c r="D62" s="10" t="s">
        <v>31</v>
      </c>
      <c r="E62" s="11">
        <v>29</v>
      </c>
      <c r="F62" s="12">
        <v>550</v>
      </c>
      <c r="G62" s="12">
        <v>400</v>
      </c>
      <c r="H62" s="12">
        <f t="shared" si="0"/>
        <v>15950</v>
      </c>
      <c r="I62" s="4">
        <f>SalesDataTable[[#This Row],[Total Sales]]-(SalesDataTable[[#This Row],[Cost of Goods]]*SalesDataTable[[#This Row],[Units Sold]])</f>
        <v>4350</v>
      </c>
    </row>
    <row r="63" spans="1:9" ht="19" customHeight="1">
      <c r="A63" s="9">
        <v>45457</v>
      </c>
      <c r="B63" s="10" t="s">
        <v>17</v>
      </c>
      <c r="C63" s="10" t="s">
        <v>12</v>
      </c>
      <c r="D63" s="10" t="s">
        <v>30</v>
      </c>
      <c r="E63" s="11">
        <v>95</v>
      </c>
      <c r="F63" s="12">
        <v>4500</v>
      </c>
      <c r="G63" s="12">
        <v>3050</v>
      </c>
      <c r="H63" s="12">
        <f t="shared" si="0"/>
        <v>427500</v>
      </c>
      <c r="I63" s="4">
        <f>SalesDataTable[[#This Row],[Total Sales]]-(SalesDataTable[[#This Row],[Cost of Goods]]*SalesDataTable[[#This Row],[Units Sold]])</f>
        <v>137750</v>
      </c>
    </row>
    <row r="64" spans="1:9" ht="19" customHeight="1">
      <c r="A64" s="9">
        <v>45458</v>
      </c>
      <c r="B64" s="10" t="s">
        <v>29</v>
      </c>
      <c r="C64" s="10" t="s">
        <v>21</v>
      </c>
      <c r="D64" s="10" t="s">
        <v>26</v>
      </c>
      <c r="E64" s="11">
        <v>64</v>
      </c>
      <c r="F64" s="12">
        <v>2250</v>
      </c>
      <c r="G64" s="12">
        <v>1600</v>
      </c>
      <c r="H64" s="12">
        <f t="shared" si="0"/>
        <v>144000</v>
      </c>
      <c r="I64" s="4">
        <f>SalesDataTable[[#This Row],[Total Sales]]-(SalesDataTable[[#This Row],[Cost of Goods]]*SalesDataTable[[#This Row],[Units Sold]])</f>
        <v>41600</v>
      </c>
    </row>
    <row r="65" spans="1:9" ht="19" customHeight="1">
      <c r="A65" s="9">
        <v>45461</v>
      </c>
      <c r="B65" s="10" t="s">
        <v>27</v>
      </c>
      <c r="C65" s="10" t="s">
        <v>12</v>
      </c>
      <c r="D65" s="10" t="s">
        <v>15</v>
      </c>
      <c r="E65" s="11">
        <v>24</v>
      </c>
      <c r="F65" s="12">
        <v>9000</v>
      </c>
      <c r="G65" s="12">
        <v>7350</v>
      </c>
      <c r="H65" s="12">
        <f t="shared" si="0"/>
        <v>216000</v>
      </c>
      <c r="I65" s="4">
        <f>SalesDataTable[[#This Row],[Total Sales]]-(SalesDataTable[[#This Row],[Cost of Goods]]*SalesDataTable[[#This Row],[Units Sold]])</f>
        <v>39600</v>
      </c>
    </row>
    <row r="66" spans="1:9" ht="19" customHeight="1">
      <c r="A66" s="9">
        <v>45462</v>
      </c>
      <c r="B66" s="10" t="s">
        <v>11</v>
      </c>
      <c r="C66" s="10" t="s">
        <v>12</v>
      </c>
      <c r="D66" s="10" t="s">
        <v>28</v>
      </c>
      <c r="E66" s="11">
        <v>128</v>
      </c>
      <c r="F66" s="12">
        <v>4000</v>
      </c>
      <c r="G66" s="12">
        <v>2850</v>
      </c>
      <c r="H66" s="12">
        <f t="shared" ref="H66:H129" si="1">E66*F66</f>
        <v>512000</v>
      </c>
      <c r="I66" s="4">
        <f>SalesDataTable[[#This Row],[Total Sales]]-(SalesDataTable[[#This Row],[Cost of Goods]]*SalesDataTable[[#This Row],[Units Sold]])</f>
        <v>147200</v>
      </c>
    </row>
    <row r="67" spans="1:9" ht="19" customHeight="1">
      <c r="A67" s="9">
        <v>45466</v>
      </c>
      <c r="B67" s="10" t="s">
        <v>29</v>
      </c>
      <c r="C67" s="10" t="s">
        <v>12</v>
      </c>
      <c r="D67" s="10" t="s">
        <v>28</v>
      </c>
      <c r="E67" s="11">
        <v>47</v>
      </c>
      <c r="F67" s="12">
        <v>4000</v>
      </c>
      <c r="G67" s="12">
        <v>3150</v>
      </c>
      <c r="H67" s="12">
        <f t="shared" si="1"/>
        <v>188000</v>
      </c>
      <c r="I67" s="4">
        <f>SalesDataTable[[#This Row],[Total Sales]]-(SalesDataTable[[#This Row],[Cost of Goods]]*SalesDataTable[[#This Row],[Units Sold]])</f>
        <v>39950</v>
      </c>
    </row>
    <row r="68" spans="1:9" ht="19" customHeight="1">
      <c r="A68" s="9">
        <v>45468</v>
      </c>
      <c r="B68" s="10" t="s">
        <v>13</v>
      </c>
      <c r="C68" s="10" t="s">
        <v>21</v>
      </c>
      <c r="D68" s="10" t="s">
        <v>33</v>
      </c>
      <c r="E68" s="11">
        <v>111</v>
      </c>
      <c r="F68" s="12">
        <v>5400</v>
      </c>
      <c r="G68" s="12">
        <v>4200</v>
      </c>
      <c r="H68" s="12">
        <f t="shared" si="1"/>
        <v>599400</v>
      </c>
      <c r="I68" s="4">
        <f>SalesDataTable[[#This Row],[Total Sales]]-(SalesDataTable[[#This Row],[Cost of Goods]]*SalesDataTable[[#This Row],[Units Sold]])</f>
        <v>133200</v>
      </c>
    </row>
    <row r="69" spans="1:9" ht="19" customHeight="1">
      <c r="A69" s="9">
        <v>45469</v>
      </c>
      <c r="B69" s="10" t="s">
        <v>37</v>
      </c>
      <c r="C69" s="10" t="s">
        <v>16</v>
      </c>
      <c r="D69" s="10" t="s">
        <v>33</v>
      </c>
      <c r="E69" s="11">
        <v>32</v>
      </c>
      <c r="F69" s="12">
        <v>6000</v>
      </c>
      <c r="G69" s="12">
        <v>4000</v>
      </c>
      <c r="H69" s="12">
        <f t="shared" si="1"/>
        <v>192000</v>
      </c>
      <c r="I69" s="4">
        <f>SalesDataTable[[#This Row],[Total Sales]]-(SalesDataTable[[#This Row],[Cost of Goods]]*SalesDataTable[[#This Row],[Units Sold]])</f>
        <v>64000</v>
      </c>
    </row>
    <row r="70" spans="1:9" ht="19" customHeight="1">
      <c r="A70" s="9">
        <v>45472</v>
      </c>
      <c r="B70" s="10" t="s">
        <v>35</v>
      </c>
      <c r="C70" s="10" t="s">
        <v>21</v>
      </c>
      <c r="D70" s="10" t="s">
        <v>15</v>
      </c>
      <c r="E70" s="11">
        <v>29</v>
      </c>
      <c r="F70" s="12">
        <v>11000</v>
      </c>
      <c r="G70" s="12">
        <v>7000</v>
      </c>
      <c r="H70" s="12">
        <f t="shared" si="1"/>
        <v>319000</v>
      </c>
      <c r="I70" s="4">
        <f>SalesDataTable[[#This Row],[Total Sales]]-(SalesDataTable[[#This Row],[Cost of Goods]]*SalesDataTable[[#This Row],[Units Sold]])</f>
        <v>116000</v>
      </c>
    </row>
    <row r="71" spans="1:9" ht="19" customHeight="1">
      <c r="A71" s="9">
        <v>45488</v>
      </c>
      <c r="B71" s="10" t="s">
        <v>19</v>
      </c>
      <c r="C71" s="10" t="s">
        <v>9</v>
      </c>
      <c r="D71" s="10" t="s">
        <v>26</v>
      </c>
      <c r="E71" s="11">
        <v>145</v>
      </c>
      <c r="F71" s="12">
        <v>2500</v>
      </c>
      <c r="G71" s="12">
        <v>1700</v>
      </c>
      <c r="H71" s="12">
        <f t="shared" si="1"/>
        <v>362500</v>
      </c>
      <c r="I71" s="4">
        <f>SalesDataTable[[#This Row],[Total Sales]]-(SalesDataTable[[#This Row],[Cost of Goods]]*SalesDataTable[[#This Row],[Units Sold]])</f>
        <v>116000</v>
      </c>
    </row>
    <row r="72" spans="1:9" ht="19" customHeight="1">
      <c r="A72" s="9">
        <v>45489</v>
      </c>
      <c r="B72" s="10" t="s">
        <v>34</v>
      </c>
      <c r="C72" s="10" t="s">
        <v>21</v>
      </c>
      <c r="D72" s="10" t="s">
        <v>28</v>
      </c>
      <c r="E72" s="11">
        <v>62</v>
      </c>
      <c r="F72" s="12">
        <v>4200</v>
      </c>
      <c r="G72" s="12">
        <v>3000</v>
      </c>
      <c r="H72" s="12">
        <f t="shared" si="1"/>
        <v>260400</v>
      </c>
      <c r="I72" s="4">
        <f>SalesDataTable[[#This Row],[Total Sales]]-(SalesDataTable[[#This Row],[Cost of Goods]]*SalesDataTable[[#This Row],[Units Sold]])</f>
        <v>74400</v>
      </c>
    </row>
    <row r="73" spans="1:9" ht="19" customHeight="1">
      <c r="A73" s="9">
        <v>45490</v>
      </c>
      <c r="B73" s="10" t="s">
        <v>25</v>
      </c>
      <c r="C73" s="10" t="s">
        <v>21</v>
      </c>
      <c r="D73" s="10" t="s">
        <v>10</v>
      </c>
      <c r="E73" s="11">
        <v>58</v>
      </c>
      <c r="F73" s="12">
        <v>3350</v>
      </c>
      <c r="G73" s="12">
        <v>2500</v>
      </c>
      <c r="H73" s="12">
        <f t="shared" si="1"/>
        <v>194300</v>
      </c>
      <c r="I73" s="4">
        <f>SalesDataTable[[#This Row],[Total Sales]]-(SalesDataTable[[#This Row],[Cost of Goods]]*SalesDataTable[[#This Row],[Units Sold]])</f>
        <v>49300</v>
      </c>
    </row>
    <row r="74" spans="1:9" ht="19" customHeight="1">
      <c r="A74" s="9">
        <v>45495</v>
      </c>
      <c r="B74" s="10" t="s">
        <v>17</v>
      </c>
      <c r="C74" s="10" t="s">
        <v>12</v>
      </c>
      <c r="D74" s="10" t="s">
        <v>33</v>
      </c>
      <c r="E74" s="11">
        <v>20</v>
      </c>
      <c r="F74" s="12">
        <v>6300</v>
      </c>
      <c r="G74" s="12">
        <v>4000</v>
      </c>
      <c r="H74" s="12">
        <f t="shared" si="1"/>
        <v>126000</v>
      </c>
      <c r="I74" s="4">
        <f>SalesDataTable[[#This Row],[Total Sales]]-(SalesDataTable[[#This Row],[Cost of Goods]]*SalesDataTable[[#This Row],[Units Sold]])</f>
        <v>46000</v>
      </c>
    </row>
    <row r="75" spans="1:9" ht="19" customHeight="1">
      <c r="A75" s="9">
        <v>45500</v>
      </c>
      <c r="B75" s="10" t="s">
        <v>8</v>
      </c>
      <c r="C75" s="10" t="s">
        <v>9</v>
      </c>
      <c r="D75" s="10" t="s">
        <v>26</v>
      </c>
      <c r="E75" s="11">
        <v>122</v>
      </c>
      <c r="F75" s="12">
        <v>2500</v>
      </c>
      <c r="G75" s="12">
        <v>1600</v>
      </c>
      <c r="H75" s="12">
        <f t="shared" si="1"/>
        <v>305000</v>
      </c>
      <c r="I75" s="4">
        <f>SalesDataTable[[#This Row],[Total Sales]]-(SalesDataTable[[#This Row],[Cost of Goods]]*SalesDataTable[[#This Row],[Units Sold]])</f>
        <v>109800</v>
      </c>
    </row>
    <row r="76" spans="1:9" ht="19" customHeight="1">
      <c r="A76" s="9">
        <v>45500</v>
      </c>
      <c r="B76" s="10" t="s">
        <v>11</v>
      </c>
      <c r="C76" s="10" t="s">
        <v>21</v>
      </c>
      <c r="D76" s="10" t="s">
        <v>31</v>
      </c>
      <c r="E76" s="11">
        <v>39</v>
      </c>
      <c r="F76" s="12">
        <v>550</v>
      </c>
      <c r="G76" s="12">
        <v>400</v>
      </c>
      <c r="H76" s="12">
        <f t="shared" si="1"/>
        <v>21450</v>
      </c>
      <c r="I76" s="4">
        <f>SalesDataTable[[#This Row],[Total Sales]]-(SalesDataTable[[#This Row],[Cost of Goods]]*SalesDataTable[[#This Row],[Units Sold]])</f>
        <v>5850</v>
      </c>
    </row>
    <row r="77" spans="1:9" ht="19" customHeight="1">
      <c r="A77" s="9">
        <v>45502</v>
      </c>
      <c r="B77" s="10" t="s">
        <v>29</v>
      </c>
      <c r="C77" s="10" t="s">
        <v>12</v>
      </c>
      <c r="D77" s="10" t="s">
        <v>28</v>
      </c>
      <c r="E77" s="11">
        <v>51</v>
      </c>
      <c r="F77" s="12">
        <v>4000</v>
      </c>
      <c r="G77" s="12">
        <v>3000</v>
      </c>
      <c r="H77" s="12">
        <f t="shared" si="1"/>
        <v>204000</v>
      </c>
      <c r="I77" s="4">
        <f>SalesDataTable[[#This Row],[Total Sales]]-(SalesDataTable[[#This Row],[Cost of Goods]]*SalesDataTable[[#This Row],[Units Sold]])</f>
        <v>51000</v>
      </c>
    </row>
    <row r="78" spans="1:9" ht="19" customHeight="1">
      <c r="A78" s="9">
        <v>45506</v>
      </c>
      <c r="B78" s="10" t="s">
        <v>36</v>
      </c>
      <c r="C78" s="10" t="s">
        <v>14</v>
      </c>
      <c r="D78" s="10" t="s">
        <v>10</v>
      </c>
      <c r="E78" s="11">
        <v>103</v>
      </c>
      <c r="F78" s="12">
        <v>3500</v>
      </c>
      <c r="G78" s="12">
        <v>2500</v>
      </c>
      <c r="H78" s="12">
        <f t="shared" si="1"/>
        <v>360500</v>
      </c>
      <c r="I78" s="4">
        <f>SalesDataTable[[#This Row],[Total Sales]]-(SalesDataTable[[#This Row],[Cost of Goods]]*SalesDataTable[[#This Row],[Units Sold]])</f>
        <v>103000</v>
      </c>
    </row>
    <row r="79" spans="1:9" ht="19" customHeight="1">
      <c r="A79" s="9">
        <v>45513</v>
      </c>
      <c r="B79" s="10" t="s">
        <v>11</v>
      </c>
      <c r="C79" s="10" t="s">
        <v>14</v>
      </c>
      <c r="D79" s="10" t="s">
        <v>24</v>
      </c>
      <c r="E79" s="11">
        <v>60</v>
      </c>
      <c r="F79" s="12">
        <v>1200</v>
      </c>
      <c r="G79" s="12">
        <v>750</v>
      </c>
      <c r="H79" s="12">
        <f t="shared" si="1"/>
        <v>72000</v>
      </c>
      <c r="I79" s="4">
        <f>SalesDataTable[[#This Row],[Total Sales]]-(SalesDataTable[[#This Row],[Cost of Goods]]*SalesDataTable[[#This Row],[Units Sold]])</f>
        <v>27000</v>
      </c>
    </row>
    <row r="80" spans="1:9" ht="19" customHeight="1">
      <c r="A80" s="9">
        <v>45519</v>
      </c>
      <c r="B80" s="10" t="s">
        <v>25</v>
      </c>
      <c r="C80" s="10" t="s">
        <v>14</v>
      </c>
      <c r="D80" s="10" t="s">
        <v>10</v>
      </c>
      <c r="E80" s="11">
        <v>73</v>
      </c>
      <c r="F80" s="12">
        <v>3700</v>
      </c>
      <c r="G80" s="12">
        <v>2500</v>
      </c>
      <c r="H80" s="12">
        <f t="shared" si="1"/>
        <v>270100</v>
      </c>
      <c r="I80" s="4">
        <f>SalesDataTable[[#This Row],[Total Sales]]-(SalesDataTable[[#This Row],[Cost of Goods]]*SalesDataTable[[#This Row],[Units Sold]])</f>
        <v>87600</v>
      </c>
    </row>
    <row r="81" spans="1:9" ht="19" customHeight="1">
      <c r="A81" s="9">
        <v>45519</v>
      </c>
      <c r="B81" s="10" t="s">
        <v>37</v>
      </c>
      <c r="C81" s="10" t="s">
        <v>16</v>
      </c>
      <c r="D81" s="10" t="s">
        <v>24</v>
      </c>
      <c r="E81" s="11">
        <v>59</v>
      </c>
      <c r="F81" s="12">
        <v>1250</v>
      </c>
      <c r="G81" s="12">
        <v>750</v>
      </c>
      <c r="H81" s="12">
        <f t="shared" si="1"/>
        <v>73750</v>
      </c>
      <c r="I81" s="4">
        <f>SalesDataTable[[#This Row],[Total Sales]]-(SalesDataTable[[#This Row],[Cost of Goods]]*SalesDataTable[[#This Row],[Units Sold]])</f>
        <v>29500</v>
      </c>
    </row>
    <row r="82" spans="1:9" ht="19" customHeight="1">
      <c r="A82" s="9">
        <v>45522</v>
      </c>
      <c r="B82" s="10" t="s">
        <v>36</v>
      </c>
      <c r="C82" s="10" t="s">
        <v>16</v>
      </c>
      <c r="D82" s="10" t="s">
        <v>22</v>
      </c>
      <c r="E82" s="11">
        <v>124</v>
      </c>
      <c r="F82" s="12">
        <v>1000</v>
      </c>
      <c r="G82" s="12">
        <v>700</v>
      </c>
      <c r="H82" s="12">
        <f t="shared" si="1"/>
        <v>124000</v>
      </c>
      <c r="I82" s="4">
        <f>SalesDataTable[[#This Row],[Total Sales]]-(SalesDataTable[[#This Row],[Cost of Goods]]*SalesDataTable[[#This Row],[Units Sold]])</f>
        <v>37200</v>
      </c>
    </row>
    <row r="83" spans="1:9" ht="19" customHeight="1">
      <c r="A83" s="9">
        <v>45528</v>
      </c>
      <c r="B83" s="10" t="s">
        <v>13</v>
      </c>
      <c r="C83" s="10" t="s">
        <v>21</v>
      </c>
      <c r="D83" s="10" t="s">
        <v>30</v>
      </c>
      <c r="E83" s="11">
        <v>65</v>
      </c>
      <c r="F83" s="12">
        <v>4050</v>
      </c>
      <c r="G83" s="12">
        <v>3200</v>
      </c>
      <c r="H83" s="12">
        <f t="shared" si="1"/>
        <v>263250</v>
      </c>
      <c r="I83" s="4">
        <f>SalesDataTable[[#This Row],[Total Sales]]-(SalesDataTable[[#This Row],[Cost of Goods]]*SalesDataTable[[#This Row],[Units Sold]])</f>
        <v>55250</v>
      </c>
    </row>
    <row r="84" spans="1:9" ht="19" customHeight="1">
      <c r="A84" s="9">
        <v>45530</v>
      </c>
      <c r="B84" s="10" t="s">
        <v>17</v>
      </c>
      <c r="C84" s="10" t="s">
        <v>9</v>
      </c>
      <c r="D84" s="10" t="s">
        <v>24</v>
      </c>
      <c r="E84" s="11">
        <v>20</v>
      </c>
      <c r="F84" s="12">
        <v>1300</v>
      </c>
      <c r="G84" s="12">
        <v>800</v>
      </c>
      <c r="H84" s="12">
        <f t="shared" si="1"/>
        <v>26000</v>
      </c>
      <c r="I84" s="4">
        <f>SalesDataTable[[#This Row],[Total Sales]]-(SalesDataTable[[#This Row],[Cost of Goods]]*SalesDataTable[[#This Row],[Units Sold]])</f>
        <v>10000</v>
      </c>
    </row>
    <row r="85" spans="1:9" ht="19" customHeight="1">
      <c r="A85" s="9">
        <v>45536</v>
      </c>
      <c r="B85" s="10" t="s">
        <v>20</v>
      </c>
      <c r="C85" s="10" t="s">
        <v>12</v>
      </c>
      <c r="D85" s="10" t="s">
        <v>24</v>
      </c>
      <c r="E85" s="11">
        <v>37</v>
      </c>
      <c r="F85" s="12">
        <v>1150</v>
      </c>
      <c r="G85" s="12">
        <v>800</v>
      </c>
      <c r="H85" s="12">
        <f t="shared" si="1"/>
        <v>42550</v>
      </c>
      <c r="I85" s="4">
        <f>SalesDataTable[[#This Row],[Total Sales]]-(SalesDataTable[[#This Row],[Cost of Goods]]*SalesDataTable[[#This Row],[Units Sold]])</f>
        <v>12950</v>
      </c>
    </row>
    <row r="86" spans="1:9" ht="19" customHeight="1">
      <c r="A86" s="9">
        <v>45544</v>
      </c>
      <c r="B86" s="10" t="s">
        <v>8</v>
      </c>
      <c r="C86" s="10" t="s">
        <v>9</v>
      </c>
      <c r="D86" s="10" t="s">
        <v>26</v>
      </c>
      <c r="E86" s="11">
        <v>140</v>
      </c>
      <c r="F86" s="12">
        <v>2500</v>
      </c>
      <c r="G86" s="12">
        <v>1500</v>
      </c>
      <c r="H86" s="12">
        <f t="shared" si="1"/>
        <v>350000</v>
      </c>
      <c r="I86" s="4">
        <f>SalesDataTable[[#This Row],[Total Sales]]-(SalesDataTable[[#This Row],[Cost of Goods]]*SalesDataTable[[#This Row],[Units Sold]])</f>
        <v>140000</v>
      </c>
    </row>
    <row r="87" spans="1:9" ht="19" customHeight="1">
      <c r="A87" s="9">
        <v>45545</v>
      </c>
      <c r="B87" s="10" t="s">
        <v>19</v>
      </c>
      <c r="C87" s="10" t="s">
        <v>21</v>
      </c>
      <c r="D87" s="10" t="s">
        <v>30</v>
      </c>
      <c r="E87" s="11">
        <v>60</v>
      </c>
      <c r="F87" s="12">
        <v>4950</v>
      </c>
      <c r="G87" s="12">
        <v>3200</v>
      </c>
      <c r="H87" s="12">
        <f t="shared" si="1"/>
        <v>297000</v>
      </c>
      <c r="I87" s="4">
        <f>SalesDataTable[[#This Row],[Total Sales]]-(SalesDataTable[[#This Row],[Cost of Goods]]*SalesDataTable[[#This Row],[Units Sold]])</f>
        <v>105000</v>
      </c>
    </row>
    <row r="88" spans="1:9" ht="19" customHeight="1">
      <c r="A88" s="9">
        <v>45545</v>
      </c>
      <c r="B88" s="10" t="s">
        <v>23</v>
      </c>
      <c r="C88" s="10" t="s">
        <v>9</v>
      </c>
      <c r="D88" s="10" t="s">
        <v>10</v>
      </c>
      <c r="E88" s="11">
        <v>50</v>
      </c>
      <c r="F88" s="12">
        <v>3700</v>
      </c>
      <c r="G88" s="12">
        <v>2650</v>
      </c>
      <c r="H88" s="12">
        <f t="shared" si="1"/>
        <v>185000</v>
      </c>
      <c r="I88" s="4">
        <f>SalesDataTable[[#This Row],[Total Sales]]-(SalesDataTable[[#This Row],[Cost of Goods]]*SalesDataTable[[#This Row],[Units Sold]])</f>
        <v>52500</v>
      </c>
    </row>
    <row r="89" spans="1:9" ht="19" customHeight="1">
      <c r="A89" s="9">
        <v>45546</v>
      </c>
      <c r="B89" s="10" t="s">
        <v>11</v>
      </c>
      <c r="C89" s="10" t="s">
        <v>14</v>
      </c>
      <c r="D89" s="10" t="s">
        <v>30</v>
      </c>
      <c r="E89" s="11">
        <v>50</v>
      </c>
      <c r="F89" s="12">
        <v>4050</v>
      </c>
      <c r="G89" s="12">
        <v>3350</v>
      </c>
      <c r="H89" s="12">
        <f t="shared" si="1"/>
        <v>202500</v>
      </c>
      <c r="I89" s="4">
        <f>SalesDataTable[[#This Row],[Total Sales]]-(SalesDataTable[[#This Row],[Cost of Goods]]*SalesDataTable[[#This Row],[Units Sold]])</f>
        <v>35000</v>
      </c>
    </row>
    <row r="90" spans="1:9" ht="19" customHeight="1">
      <c r="A90" s="9">
        <v>45548</v>
      </c>
      <c r="B90" s="10" t="s">
        <v>25</v>
      </c>
      <c r="C90" s="10" t="s">
        <v>21</v>
      </c>
      <c r="D90" s="10" t="s">
        <v>31</v>
      </c>
      <c r="E90" s="11">
        <v>114</v>
      </c>
      <c r="F90" s="12">
        <v>600</v>
      </c>
      <c r="G90" s="12">
        <v>400</v>
      </c>
      <c r="H90" s="12">
        <f t="shared" si="1"/>
        <v>68400</v>
      </c>
      <c r="I90" s="4">
        <f>SalesDataTable[[#This Row],[Total Sales]]-(SalesDataTable[[#This Row],[Cost of Goods]]*SalesDataTable[[#This Row],[Units Sold]])</f>
        <v>22800</v>
      </c>
    </row>
    <row r="91" spans="1:9" ht="19" customHeight="1">
      <c r="A91" s="9">
        <v>45549</v>
      </c>
      <c r="B91" s="10" t="s">
        <v>37</v>
      </c>
      <c r="C91" s="10" t="s">
        <v>21</v>
      </c>
      <c r="D91" s="10" t="s">
        <v>15</v>
      </c>
      <c r="E91" s="11">
        <v>142</v>
      </c>
      <c r="F91" s="12">
        <v>9000</v>
      </c>
      <c r="G91" s="12">
        <v>6650</v>
      </c>
      <c r="H91" s="12">
        <f t="shared" si="1"/>
        <v>1278000</v>
      </c>
      <c r="I91" s="4">
        <f>SalesDataTable[[#This Row],[Total Sales]]-(SalesDataTable[[#This Row],[Cost of Goods]]*SalesDataTable[[#This Row],[Units Sold]])</f>
        <v>333700</v>
      </c>
    </row>
    <row r="92" spans="1:9" ht="19" customHeight="1">
      <c r="A92" s="9">
        <v>45550</v>
      </c>
      <c r="B92" s="10" t="s">
        <v>17</v>
      </c>
      <c r="C92" s="10" t="s">
        <v>14</v>
      </c>
      <c r="D92" s="10" t="s">
        <v>28</v>
      </c>
      <c r="E92" s="11">
        <v>52</v>
      </c>
      <c r="F92" s="12">
        <v>4000</v>
      </c>
      <c r="G92" s="12">
        <v>2850</v>
      </c>
      <c r="H92" s="12">
        <f t="shared" si="1"/>
        <v>208000</v>
      </c>
      <c r="I92" s="4">
        <f>SalesDataTable[[#This Row],[Total Sales]]-(SalesDataTable[[#This Row],[Cost of Goods]]*SalesDataTable[[#This Row],[Units Sold]])</f>
        <v>59800</v>
      </c>
    </row>
    <row r="93" spans="1:9" ht="19" customHeight="1">
      <c r="A93" s="9">
        <v>45550</v>
      </c>
      <c r="B93" s="10" t="s">
        <v>13</v>
      </c>
      <c r="C93" s="10" t="s">
        <v>9</v>
      </c>
      <c r="D93" s="10" t="s">
        <v>30</v>
      </c>
      <c r="E93" s="11">
        <v>55</v>
      </c>
      <c r="F93" s="12">
        <v>4500</v>
      </c>
      <c r="G93" s="12">
        <v>3050</v>
      </c>
      <c r="H93" s="12">
        <f t="shared" si="1"/>
        <v>247500</v>
      </c>
      <c r="I93" s="4">
        <f>SalesDataTable[[#This Row],[Total Sales]]-(SalesDataTable[[#This Row],[Cost of Goods]]*SalesDataTable[[#This Row],[Units Sold]])</f>
        <v>79750</v>
      </c>
    </row>
    <row r="94" spans="1:9" ht="19" customHeight="1">
      <c r="A94" s="9">
        <v>45550</v>
      </c>
      <c r="B94" s="10" t="s">
        <v>19</v>
      </c>
      <c r="C94" s="10" t="s">
        <v>14</v>
      </c>
      <c r="D94" s="10" t="s">
        <v>28</v>
      </c>
      <c r="E94" s="11">
        <v>148</v>
      </c>
      <c r="F94" s="12">
        <v>4400</v>
      </c>
      <c r="G94" s="12">
        <v>3150</v>
      </c>
      <c r="H94" s="12">
        <f t="shared" si="1"/>
        <v>651200</v>
      </c>
      <c r="I94" s="4">
        <f>SalesDataTable[[#This Row],[Total Sales]]-(SalesDataTable[[#This Row],[Cost of Goods]]*SalesDataTable[[#This Row],[Units Sold]])</f>
        <v>185000</v>
      </c>
    </row>
    <row r="95" spans="1:9" ht="19" customHeight="1">
      <c r="A95" s="9">
        <v>45552</v>
      </c>
      <c r="B95" s="10" t="s">
        <v>25</v>
      </c>
      <c r="C95" s="10" t="s">
        <v>9</v>
      </c>
      <c r="D95" s="10" t="s">
        <v>26</v>
      </c>
      <c r="E95" s="11">
        <v>80</v>
      </c>
      <c r="F95" s="12">
        <v>2400</v>
      </c>
      <c r="G95" s="12">
        <v>1500</v>
      </c>
      <c r="H95" s="12">
        <f t="shared" si="1"/>
        <v>192000</v>
      </c>
      <c r="I95" s="4">
        <f>SalesDataTable[[#This Row],[Total Sales]]-(SalesDataTable[[#This Row],[Cost of Goods]]*SalesDataTable[[#This Row],[Units Sold]])</f>
        <v>72000</v>
      </c>
    </row>
    <row r="96" spans="1:9" ht="19" customHeight="1">
      <c r="A96" s="9">
        <v>45554</v>
      </c>
      <c r="B96" s="10" t="s">
        <v>25</v>
      </c>
      <c r="C96" s="10" t="s">
        <v>9</v>
      </c>
      <c r="D96" s="10" t="s">
        <v>26</v>
      </c>
      <c r="E96" s="11">
        <v>55</v>
      </c>
      <c r="F96" s="12">
        <v>2650</v>
      </c>
      <c r="G96" s="12">
        <v>1500</v>
      </c>
      <c r="H96" s="12">
        <f t="shared" si="1"/>
        <v>145750</v>
      </c>
      <c r="I96" s="4">
        <f>SalesDataTable[[#This Row],[Total Sales]]-(SalesDataTable[[#This Row],[Cost of Goods]]*SalesDataTable[[#This Row],[Units Sold]])</f>
        <v>63250</v>
      </c>
    </row>
    <row r="97" spans="1:9" ht="19" customHeight="1">
      <c r="A97" s="9">
        <v>45555</v>
      </c>
      <c r="B97" s="10" t="s">
        <v>36</v>
      </c>
      <c r="C97" s="10" t="s">
        <v>21</v>
      </c>
      <c r="D97" s="10" t="s">
        <v>10</v>
      </c>
      <c r="E97" s="11">
        <v>73</v>
      </c>
      <c r="F97" s="12">
        <v>3150</v>
      </c>
      <c r="G97" s="12">
        <v>2500</v>
      </c>
      <c r="H97" s="12">
        <f t="shared" si="1"/>
        <v>229950</v>
      </c>
      <c r="I97" s="4">
        <f>SalesDataTable[[#This Row],[Total Sales]]-(SalesDataTable[[#This Row],[Cost of Goods]]*SalesDataTable[[#This Row],[Units Sold]])</f>
        <v>47450</v>
      </c>
    </row>
    <row r="98" spans="1:9" ht="19" customHeight="1">
      <c r="A98" s="9">
        <v>45559</v>
      </c>
      <c r="B98" s="10" t="s">
        <v>20</v>
      </c>
      <c r="C98" s="10" t="s">
        <v>16</v>
      </c>
      <c r="D98" s="10" t="s">
        <v>26</v>
      </c>
      <c r="E98" s="11">
        <v>60</v>
      </c>
      <c r="F98" s="12">
        <v>2250</v>
      </c>
      <c r="G98" s="12">
        <v>1600</v>
      </c>
      <c r="H98" s="12">
        <f t="shared" si="1"/>
        <v>135000</v>
      </c>
      <c r="I98" s="4">
        <f>SalesDataTable[[#This Row],[Total Sales]]-(SalesDataTable[[#This Row],[Cost of Goods]]*SalesDataTable[[#This Row],[Units Sold]])</f>
        <v>39000</v>
      </c>
    </row>
    <row r="99" spans="1:9" ht="19" customHeight="1">
      <c r="A99" s="9">
        <v>45560</v>
      </c>
      <c r="B99" s="10" t="s">
        <v>11</v>
      </c>
      <c r="C99" s="10" t="s">
        <v>21</v>
      </c>
      <c r="D99" s="10" t="s">
        <v>15</v>
      </c>
      <c r="E99" s="11">
        <v>72</v>
      </c>
      <c r="F99" s="12">
        <v>10000</v>
      </c>
      <c r="G99" s="12">
        <v>7000</v>
      </c>
      <c r="H99" s="12">
        <f t="shared" si="1"/>
        <v>720000</v>
      </c>
      <c r="I99" s="4">
        <f>SalesDataTable[[#This Row],[Total Sales]]-(SalesDataTable[[#This Row],[Cost of Goods]]*SalesDataTable[[#This Row],[Units Sold]])</f>
        <v>216000</v>
      </c>
    </row>
    <row r="100" spans="1:9" ht="19" customHeight="1">
      <c r="A100" s="9">
        <v>45561</v>
      </c>
      <c r="B100" s="10" t="s">
        <v>19</v>
      </c>
      <c r="C100" s="10" t="s">
        <v>12</v>
      </c>
      <c r="D100" s="10" t="s">
        <v>30</v>
      </c>
      <c r="E100" s="11">
        <v>41</v>
      </c>
      <c r="F100" s="12">
        <v>4500</v>
      </c>
      <c r="G100" s="12">
        <v>3200</v>
      </c>
      <c r="H100" s="12">
        <f t="shared" si="1"/>
        <v>184500</v>
      </c>
      <c r="I100" s="4">
        <f>SalesDataTable[[#This Row],[Total Sales]]-(SalesDataTable[[#This Row],[Cost of Goods]]*SalesDataTable[[#This Row],[Units Sold]])</f>
        <v>53300</v>
      </c>
    </row>
    <row r="101" spans="1:9" ht="19" customHeight="1">
      <c r="A101" s="9">
        <v>45564</v>
      </c>
      <c r="B101" s="10" t="s">
        <v>36</v>
      </c>
      <c r="C101" s="10" t="s">
        <v>14</v>
      </c>
      <c r="D101" s="10" t="s">
        <v>22</v>
      </c>
      <c r="E101" s="11">
        <v>114</v>
      </c>
      <c r="F101" s="12">
        <v>950</v>
      </c>
      <c r="G101" s="12">
        <v>700</v>
      </c>
      <c r="H101" s="12">
        <f t="shared" si="1"/>
        <v>108300</v>
      </c>
      <c r="I101" s="4">
        <f>SalesDataTable[[#This Row],[Total Sales]]-(SalesDataTable[[#This Row],[Cost of Goods]]*SalesDataTable[[#This Row],[Units Sold]])</f>
        <v>28500</v>
      </c>
    </row>
    <row r="102" spans="1:9" ht="19" customHeight="1">
      <c r="A102" s="9">
        <v>45571</v>
      </c>
      <c r="B102" s="10" t="s">
        <v>17</v>
      </c>
      <c r="C102" s="10" t="s">
        <v>9</v>
      </c>
      <c r="D102" s="10" t="s">
        <v>33</v>
      </c>
      <c r="E102" s="11">
        <v>45</v>
      </c>
      <c r="F102" s="12">
        <v>6300</v>
      </c>
      <c r="G102" s="12">
        <v>4200</v>
      </c>
      <c r="H102" s="12">
        <f t="shared" si="1"/>
        <v>283500</v>
      </c>
      <c r="I102" s="4">
        <f>SalesDataTable[[#This Row],[Total Sales]]-(SalesDataTable[[#This Row],[Cost of Goods]]*SalesDataTable[[#This Row],[Units Sold]])</f>
        <v>94500</v>
      </c>
    </row>
    <row r="103" spans="1:9" ht="19" customHeight="1">
      <c r="A103" s="9">
        <v>45572</v>
      </c>
      <c r="B103" s="10" t="s">
        <v>27</v>
      </c>
      <c r="C103" s="10" t="s">
        <v>21</v>
      </c>
      <c r="D103" s="10" t="s">
        <v>28</v>
      </c>
      <c r="E103" s="11">
        <v>97</v>
      </c>
      <c r="F103" s="12">
        <v>4000</v>
      </c>
      <c r="G103" s="12">
        <v>3000</v>
      </c>
      <c r="H103" s="12">
        <f t="shared" si="1"/>
        <v>388000</v>
      </c>
      <c r="I103" s="4">
        <f>SalesDataTable[[#This Row],[Total Sales]]-(SalesDataTable[[#This Row],[Cost of Goods]]*SalesDataTable[[#This Row],[Units Sold]])</f>
        <v>97000</v>
      </c>
    </row>
    <row r="104" spans="1:9" ht="19" customHeight="1">
      <c r="A104" s="9">
        <v>45579</v>
      </c>
      <c r="B104" s="10" t="s">
        <v>37</v>
      </c>
      <c r="C104" s="10" t="s">
        <v>16</v>
      </c>
      <c r="D104" s="10" t="s">
        <v>18</v>
      </c>
      <c r="E104" s="11">
        <v>108</v>
      </c>
      <c r="F104" s="12">
        <v>3150</v>
      </c>
      <c r="G104" s="12">
        <v>2000</v>
      </c>
      <c r="H104" s="12">
        <f t="shared" si="1"/>
        <v>340200</v>
      </c>
      <c r="I104" s="4">
        <f>SalesDataTable[[#This Row],[Total Sales]]-(SalesDataTable[[#This Row],[Cost of Goods]]*SalesDataTable[[#This Row],[Units Sold]])</f>
        <v>124200</v>
      </c>
    </row>
    <row r="105" spans="1:9" ht="19" customHeight="1">
      <c r="A105" s="9">
        <v>45580</v>
      </c>
      <c r="B105" s="10" t="s">
        <v>19</v>
      </c>
      <c r="C105" s="10" t="s">
        <v>9</v>
      </c>
      <c r="D105" s="10" t="s">
        <v>10</v>
      </c>
      <c r="E105" s="11">
        <v>85</v>
      </c>
      <c r="F105" s="12">
        <v>3700</v>
      </c>
      <c r="G105" s="12">
        <v>2500</v>
      </c>
      <c r="H105" s="12">
        <f t="shared" si="1"/>
        <v>314500</v>
      </c>
      <c r="I105" s="4">
        <f>SalesDataTable[[#This Row],[Total Sales]]-(SalesDataTable[[#This Row],[Cost of Goods]]*SalesDataTable[[#This Row],[Units Sold]])</f>
        <v>102000</v>
      </c>
    </row>
    <row r="106" spans="1:9" ht="19" customHeight="1">
      <c r="A106" s="9">
        <v>45581</v>
      </c>
      <c r="B106" s="10" t="s">
        <v>27</v>
      </c>
      <c r="C106" s="10" t="s">
        <v>21</v>
      </c>
      <c r="D106" s="10" t="s">
        <v>22</v>
      </c>
      <c r="E106" s="11">
        <v>86</v>
      </c>
      <c r="F106" s="12">
        <v>1000</v>
      </c>
      <c r="G106" s="12">
        <v>700</v>
      </c>
      <c r="H106" s="12">
        <f t="shared" si="1"/>
        <v>86000</v>
      </c>
      <c r="I106" s="4">
        <f>SalesDataTable[[#This Row],[Total Sales]]-(SalesDataTable[[#This Row],[Cost of Goods]]*SalesDataTable[[#This Row],[Units Sold]])</f>
        <v>25800</v>
      </c>
    </row>
    <row r="107" spans="1:9" ht="19" customHeight="1">
      <c r="A107" s="9">
        <v>45585</v>
      </c>
      <c r="B107" s="10" t="s">
        <v>34</v>
      </c>
      <c r="C107" s="10" t="s">
        <v>12</v>
      </c>
      <c r="D107" s="10" t="s">
        <v>10</v>
      </c>
      <c r="E107" s="11">
        <v>138</v>
      </c>
      <c r="F107" s="12">
        <v>3500</v>
      </c>
      <c r="G107" s="12">
        <v>2500</v>
      </c>
      <c r="H107" s="12">
        <f t="shared" si="1"/>
        <v>483000</v>
      </c>
      <c r="I107" s="4">
        <f>SalesDataTable[[#This Row],[Total Sales]]-(SalesDataTable[[#This Row],[Cost of Goods]]*SalesDataTable[[#This Row],[Units Sold]])</f>
        <v>138000</v>
      </c>
    </row>
    <row r="108" spans="1:9" ht="19" customHeight="1">
      <c r="A108" s="9">
        <v>45587</v>
      </c>
      <c r="B108" s="10" t="s">
        <v>17</v>
      </c>
      <c r="C108" s="10" t="s">
        <v>16</v>
      </c>
      <c r="D108" s="10" t="s">
        <v>28</v>
      </c>
      <c r="E108" s="11">
        <v>97</v>
      </c>
      <c r="F108" s="12">
        <v>4200</v>
      </c>
      <c r="G108" s="12">
        <v>3000</v>
      </c>
      <c r="H108" s="12">
        <f t="shared" si="1"/>
        <v>407400</v>
      </c>
      <c r="I108" s="4">
        <f>SalesDataTable[[#This Row],[Total Sales]]-(SalesDataTable[[#This Row],[Cost of Goods]]*SalesDataTable[[#This Row],[Units Sold]])</f>
        <v>116400</v>
      </c>
    </row>
    <row r="109" spans="1:9" ht="19" customHeight="1">
      <c r="A109" s="9">
        <v>45589</v>
      </c>
      <c r="B109" s="10" t="s">
        <v>11</v>
      </c>
      <c r="C109" s="10" t="s">
        <v>9</v>
      </c>
      <c r="D109" s="10" t="s">
        <v>10</v>
      </c>
      <c r="E109" s="11">
        <v>97</v>
      </c>
      <c r="F109" s="12">
        <v>3500</v>
      </c>
      <c r="G109" s="12">
        <v>2500</v>
      </c>
      <c r="H109" s="12">
        <f t="shared" si="1"/>
        <v>339500</v>
      </c>
      <c r="I109" s="4">
        <f>SalesDataTable[[#This Row],[Total Sales]]-(SalesDataTable[[#This Row],[Cost of Goods]]*SalesDataTable[[#This Row],[Units Sold]])</f>
        <v>97000</v>
      </c>
    </row>
    <row r="110" spans="1:9" ht="19" customHeight="1">
      <c r="A110" s="9">
        <v>45591</v>
      </c>
      <c r="B110" s="10" t="s">
        <v>34</v>
      </c>
      <c r="C110" s="10" t="s">
        <v>16</v>
      </c>
      <c r="D110" s="10" t="s">
        <v>26</v>
      </c>
      <c r="E110" s="11">
        <v>76</v>
      </c>
      <c r="F110" s="12">
        <v>2400</v>
      </c>
      <c r="G110" s="12">
        <v>1600</v>
      </c>
      <c r="H110" s="12">
        <f t="shared" si="1"/>
        <v>182400</v>
      </c>
      <c r="I110" s="4">
        <f>SalesDataTable[[#This Row],[Total Sales]]-(SalesDataTable[[#This Row],[Cost of Goods]]*SalesDataTable[[#This Row],[Units Sold]])</f>
        <v>60800</v>
      </c>
    </row>
    <row r="111" spans="1:9" ht="19" customHeight="1">
      <c r="A111" s="9">
        <v>45597</v>
      </c>
      <c r="B111" s="10" t="s">
        <v>29</v>
      </c>
      <c r="C111" s="10" t="s">
        <v>21</v>
      </c>
      <c r="D111" s="10" t="s">
        <v>22</v>
      </c>
      <c r="E111" s="11">
        <v>88</v>
      </c>
      <c r="F111" s="12">
        <v>950</v>
      </c>
      <c r="G111" s="12">
        <v>700</v>
      </c>
      <c r="H111" s="12">
        <f t="shared" si="1"/>
        <v>83600</v>
      </c>
      <c r="I111" s="4">
        <f>SalesDataTable[[#This Row],[Total Sales]]-(SalesDataTable[[#This Row],[Cost of Goods]]*SalesDataTable[[#This Row],[Units Sold]])</f>
        <v>22000</v>
      </c>
    </row>
    <row r="112" spans="1:9" ht="19" customHeight="1">
      <c r="A112" s="9">
        <v>45601</v>
      </c>
      <c r="B112" s="10" t="s">
        <v>17</v>
      </c>
      <c r="C112" s="10" t="s">
        <v>16</v>
      </c>
      <c r="D112" s="10" t="s">
        <v>31</v>
      </c>
      <c r="E112" s="11">
        <v>51</v>
      </c>
      <c r="F112" s="12">
        <v>600</v>
      </c>
      <c r="G112" s="12">
        <v>400</v>
      </c>
      <c r="H112" s="12">
        <f t="shared" si="1"/>
        <v>30600</v>
      </c>
      <c r="I112" s="4">
        <f>SalesDataTable[[#This Row],[Total Sales]]-(SalesDataTable[[#This Row],[Cost of Goods]]*SalesDataTable[[#This Row],[Units Sold]])</f>
        <v>10200</v>
      </c>
    </row>
    <row r="113" spans="1:9" ht="19" customHeight="1">
      <c r="A113" s="9">
        <v>45603</v>
      </c>
      <c r="B113" s="10" t="s">
        <v>32</v>
      </c>
      <c r="C113" s="10" t="s">
        <v>14</v>
      </c>
      <c r="D113" s="10" t="s">
        <v>24</v>
      </c>
      <c r="E113" s="11">
        <v>42</v>
      </c>
      <c r="F113" s="12">
        <v>1250</v>
      </c>
      <c r="G113" s="12">
        <v>800</v>
      </c>
      <c r="H113" s="12">
        <f t="shared" si="1"/>
        <v>52500</v>
      </c>
      <c r="I113" s="4">
        <f>SalesDataTable[[#This Row],[Total Sales]]-(SalesDataTable[[#This Row],[Cost of Goods]]*SalesDataTable[[#This Row],[Units Sold]])</f>
        <v>18900</v>
      </c>
    </row>
    <row r="114" spans="1:9" ht="19" customHeight="1">
      <c r="A114" s="9">
        <v>45603</v>
      </c>
      <c r="B114" s="10" t="s">
        <v>20</v>
      </c>
      <c r="C114" s="10" t="s">
        <v>12</v>
      </c>
      <c r="D114" s="10" t="s">
        <v>10</v>
      </c>
      <c r="E114" s="11">
        <v>134</v>
      </c>
      <c r="F114" s="12">
        <v>3850</v>
      </c>
      <c r="G114" s="12">
        <v>2650</v>
      </c>
      <c r="H114" s="12">
        <f t="shared" si="1"/>
        <v>515900</v>
      </c>
      <c r="I114" s="4">
        <f>SalesDataTable[[#This Row],[Total Sales]]-(SalesDataTable[[#This Row],[Cost of Goods]]*SalesDataTable[[#This Row],[Units Sold]])</f>
        <v>160800</v>
      </c>
    </row>
    <row r="115" spans="1:9" ht="19" customHeight="1">
      <c r="A115" s="9">
        <v>45606</v>
      </c>
      <c r="B115" s="10" t="s">
        <v>34</v>
      </c>
      <c r="C115" s="10" t="s">
        <v>21</v>
      </c>
      <c r="D115" s="10" t="s">
        <v>24</v>
      </c>
      <c r="E115" s="11">
        <v>62</v>
      </c>
      <c r="F115" s="12">
        <v>1300</v>
      </c>
      <c r="G115" s="12">
        <v>800</v>
      </c>
      <c r="H115" s="12">
        <f t="shared" si="1"/>
        <v>80600</v>
      </c>
      <c r="I115" s="4">
        <f>SalesDataTable[[#This Row],[Total Sales]]-(SalesDataTable[[#This Row],[Cost of Goods]]*SalesDataTable[[#This Row],[Units Sold]])</f>
        <v>31000</v>
      </c>
    </row>
    <row r="116" spans="1:9" ht="19" customHeight="1">
      <c r="A116" s="9">
        <v>45611</v>
      </c>
      <c r="B116" s="10" t="s">
        <v>8</v>
      </c>
      <c r="C116" s="10" t="s">
        <v>12</v>
      </c>
      <c r="D116" s="10" t="s">
        <v>15</v>
      </c>
      <c r="E116" s="11">
        <v>22</v>
      </c>
      <c r="F116" s="12">
        <v>10500</v>
      </c>
      <c r="G116" s="12">
        <v>7000</v>
      </c>
      <c r="H116" s="12">
        <f t="shared" si="1"/>
        <v>231000</v>
      </c>
      <c r="I116" s="4">
        <f>SalesDataTable[[#This Row],[Total Sales]]-(SalesDataTable[[#This Row],[Cost of Goods]]*SalesDataTable[[#This Row],[Units Sold]])</f>
        <v>77000</v>
      </c>
    </row>
    <row r="117" spans="1:9" ht="19" customHeight="1">
      <c r="A117" s="9">
        <v>45614</v>
      </c>
      <c r="B117" s="10" t="s">
        <v>20</v>
      </c>
      <c r="C117" s="10" t="s">
        <v>16</v>
      </c>
      <c r="D117" s="10" t="s">
        <v>24</v>
      </c>
      <c r="E117" s="11">
        <v>123</v>
      </c>
      <c r="F117" s="12">
        <v>1150</v>
      </c>
      <c r="G117" s="12">
        <v>800</v>
      </c>
      <c r="H117" s="12">
        <f t="shared" si="1"/>
        <v>141450</v>
      </c>
      <c r="I117" s="4">
        <f>SalesDataTable[[#This Row],[Total Sales]]-(SalesDataTable[[#This Row],[Cost of Goods]]*SalesDataTable[[#This Row],[Units Sold]])</f>
        <v>43050</v>
      </c>
    </row>
    <row r="118" spans="1:9" ht="19" customHeight="1">
      <c r="A118" s="9">
        <v>45620</v>
      </c>
      <c r="B118" s="10" t="s">
        <v>23</v>
      </c>
      <c r="C118" s="10" t="s">
        <v>12</v>
      </c>
      <c r="D118" s="10" t="s">
        <v>30</v>
      </c>
      <c r="E118" s="11">
        <v>30</v>
      </c>
      <c r="F118" s="12">
        <v>4300</v>
      </c>
      <c r="G118" s="12">
        <v>3050</v>
      </c>
      <c r="H118" s="12">
        <f t="shared" si="1"/>
        <v>129000</v>
      </c>
      <c r="I118" s="4">
        <f>SalesDataTable[[#This Row],[Total Sales]]-(SalesDataTable[[#This Row],[Cost of Goods]]*SalesDataTable[[#This Row],[Units Sold]])</f>
        <v>37500</v>
      </c>
    </row>
    <row r="119" spans="1:9" ht="19" customHeight="1">
      <c r="A119" s="9">
        <v>45624</v>
      </c>
      <c r="B119" s="10" t="s">
        <v>8</v>
      </c>
      <c r="C119" s="10" t="s">
        <v>16</v>
      </c>
      <c r="D119" s="10" t="s">
        <v>31</v>
      </c>
      <c r="E119" s="11">
        <v>72</v>
      </c>
      <c r="F119" s="12">
        <v>650</v>
      </c>
      <c r="G119" s="12">
        <v>400</v>
      </c>
      <c r="H119" s="12">
        <f t="shared" si="1"/>
        <v>46800</v>
      </c>
      <c r="I119" s="4">
        <f>SalesDataTable[[#This Row],[Total Sales]]-(SalesDataTable[[#This Row],[Cost of Goods]]*SalesDataTable[[#This Row],[Units Sold]])</f>
        <v>18000</v>
      </c>
    </row>
    <row r="120" spans="1:9" ht="19" customHeight="1">
      <c r="A120" s="9">
        <v>45624</v>
      </c>
      <c r="B120" s="10" t="s">
        <v>25</v>
      </c>
      <c r="C120" s="10" t="s">
        <v>12</v>
      </c>
      <c r="D120" s="10" t="s">
        <v>26</v>
      </c>
      <c r="E120" s="11">
        <v>46</v>
      </c>
      <c r="F120" s="12">
        <v>2750</v>
      </c>
      <c r="G120" s="12">
        <v>1600</v>
      </c>
      <c r="H120" s="12">
        <f t="shared" si="1"/>
        <v>126500</v>
      </c>
      <c r="I120" s="4">
        <f>SalesDataTable[[#This Row],[Total Sales]]-(SalesDataTable[[#This Row],[Cost of Goods]]*SalesDataTable[[#This Row],[Units Sold]])</f>
        <v>52900</v>
      </c>
    </row>
    <row r="121" spans="1:9" ht="19" customHeight="1">
      <c r="A121" s="9">
        <v>45625</v>
      </c>
      <c r="B121" s="10" t="s">
        <v>8</v>
      </c>
      <c r="C121" s="10" t="s">
        <v>9</v>
      </c>
      <c r="D121" s="10" t="s">
        <v>18</v>
      </c>
      <c r="E121" s="11">
        <v>77</v>
      </c>
      <c r="F121" s="12">
        <v>2850</v>
      </c>
      <c r="G121" s="12">
        <v>2200</v>
      </c>
      <c r="H121" s="12">
        <f t="shared" si="1"/>
        <v>219450</v>
      </c>
      <c r="I121" s="4">
        <f>SalesDataTable[[#This Row],[Total Sales]]-(SalesDataTable[[#This Row],[Cost of Goods]]*SalesDataTable[[#This Row],[Units Sold]])</f>
        <v>50050</v>
      </c>
    </row>
    <row r="122" spans="1:9" ht="19" customHeight="1">
      <c r="A122" s="9">
        <v>45626</v>
      </c>
      <c r="B122" s="10" t="s">
        <v>29</v>
      </c>
      <c r="C122" s="10" t="s">
        <v>14</v>
      </c>
      <c r="D122" s="10" t="s">
        <v>18</v>
      </c>
      <c r="E122" s="11">
        <v>128</v>
      </c>
      <c r="F122" s="12">
        <v>3000</v>
      </c>
      <c r="G122" s="12">
        <v>2200</v>
      </c>
      <c r="H122" s="12">
        <f t="shared" si="1"/>
        <v>384000</v>
      </c>
      <c r="I122" s="4">
        <f>SalesDataTable[[#This Row],[Total Sales]]-(SalesDataTable[[#This Row],[Cost of Goods]]*SalesDataTable[[#This Row],[Units Sold]])</f>
        <v>102400</v>
      </c>
    </row>
    <row r="123" spans="1:9" ht="19" customHeight="1">
      <c r="A123" s="9">
        <v>45626</v>
      </c>
      <c r="B123" s="10" t="s">
        <v>19</v>
      </c>
      <c r="C123" s="10" t="s">
        <v>12</v>
      </c>
      <c r="D123" s="10" t="s">
        <v>30</v>
      </c>
      <c r="E123" s="11">
        <v>62</v>
      </c>
      <c r="F123" s="12">
        <v>4950</v>
      </c>
      <c r="G123" s="12">
        <v>3200</v>
      </c>
      <c r="H123" s="12">
        <f t="shared" si="1"/>
        <v>306900</v>
      </c>
      <c r="I123" s="4">
        <f>SalesDataTable[[#This Row],[Total Sales]]-(SalesDataTable[[#This Row],[Cost of Goods]]*SalesDataTable[[#This Row],[Units Sold]])</f>
        <v>108500</v>
      </c>
    </row>
    <row r="124" spans="1:9" ht="19" customHeight="1">
      <c r="A124" s="9">
        <v>45628</v>
      </c>
      <c r="B124" s="10" t="s">
        <v>20</v>
      </c>
      <c r="C124" s="10" t="s">
        <v>21</v>
      </c>
      <c r="D124" s="10" t="s">
        <v>18</v>
      </c>
      <c r="E124" s="11">
        <v>77</v>
      </c>
      <c r="F124" s="12">
        <v>3000</v>
      </c>
      <c r="G124" s="12">
        <v>2100</v>
      </c>
      <c r="H124" s="12">
        <f t="shared" si="1"/>
        <v>231000</v>
      </c>
      <c r="I124" s="4">
        <f>SalesDataTable[[#This Row],[Total Sales]]-(SalesDataTable[[#This Row],[Cost of Goods]]*SalesDataTable[[#This Row],[Units Sold]])</f>
        <v>69300</v>
      </c>
    </row>
    <row r="125" spans="1:9" ht="19" customHeight="1">
      <c r="A125" s="9">
        <v>45629</v>
      </c>
      <c r="B125" s="10" t="s">
        <v>27</v>
      </c>
      <c r="C125" s="10" t="s">
        <v>16</v>
      </c>
      <c r="D125" s="10" t="s">
        <v>15</v>
      </c>
      <c r="E125" s="11">
        <v>21</v>
      </c>
      <c r="F125" s="12">
        <v>10000</v>
      </c>
      <c r="G125" s="12">
        <v>7000</v>
      </c>
      <c r="H125" s="12">
        <f t="shared" si="1"/>
        <v>210000</v>
      </c>
      <c r="I125" s="4">
        <f>SalesDataTable[[#This Row],[Total Sales]]-(SalesDataTable[[#This Row],[Cost of Goods]]*SalesDataTable[[#This Row],[Units Sold]])</f>
        <v>63000</v>
      </c>
    </row>
    <row r="126" spans="1:9" ht="19" customHeight="1">
      <c r="A126" s="9">
        <v>45633</v>
      </c>
      <c r="B126" s="10" t="s">
        <v>32</v>
      </c>
      <c r="C126" s="10" t="s">
        <v>12</v>
      </c>
      <c r="D126" s="10" t="s">
        <v>31</v>
      </c>
      <c r="E126" s="11">
        <v>118</v>
      </c>
      <c r="F126" s="12">
        <v>550</v>
      </c>
      <c r="G126" s="12">
        <v>400</v>
      </c>
      <c r="H126" s="12">
        <f t="shared" si="1"/>
        <v>64900</v>
      </c>
      <c r="I126" s="4">
        <f>SalesDataTable[[#This Row],[Total Sales]]-(SalesDataTable[[#This Row],[Cost of Goods]]*SalesDataTable[[#This Row],[Units Sold]])</f>
        <v>17700</v>
      </c>
    </row>
    <row r="127" spans="1:9" ht="19" customHeight="1">
      <c r="A127" s="9">
        <v>45637</v>
      </c>
      <c r="B127" s="10" t="s">
        <v>13</v>
      </c>
      <c r="C127" s="10" t="s">
        <v>21</v>
      </c>
      <c r="D127" s="10" t="s">
        <v>24</v>
      </c>
      <c r="E127" s="11">
        <v>36</v>
      </c>
      <c r="F127" s="12">
        <v>1250</v>
      </c>
      <c r="G127" s="12">
        <v>850</v>
      </c>
      <c r="H127" s="12">
        <f t="shared" si="1"/>
        <v>45000</v>
      </c>
      <c r="I127" s="4">
        <f>SalesDataTable[[#This Row],[Total Sales]]-(SalesDataTable[[#This Row],[Cost of Goods]]*SalesDataTable[[#This Row],[Units Sold]])</f>
        <v>14400</v>
      </c>
    </row>
    <row r="128" spans="1:9" ht="19" customHeight="1">
      <c r="A128" s="9">
        <v>45638</v>
      </c>
      <c r="B128" s="10" t="s">
        <v>29</v>
      </c>
      <c r="C128" s="10" t="s">
        <v>14</v>
      </c>
      <c r="D128" s="10" t="s">
        <v>33</v>
      </c>
      <c r="E128" s="11">
        <v>36</v>
      </c>
      <c r="F128" s="12">
        <v>6300</v>
      </c>
      <c r="G128" s="12">
        <v>4200</v>
      </c>
      <c r="H128" s="12">
        <f t="shared" si="1"/>
        <v>226800</v>
      </c>
      <c r="I128" s="4">
        <f>SalesDataTable[[#This Row],[Total Sales]]-(SalesDataTable[[#This Row],[Cost of Goods]]*SalesDataTable[[#This Row],[Units Sold]])</f>
        <v>75600</v>
      </c>
    </row>
    <row r="129" spans="1:9" ht="19" customHeight="1">
      <c r="A129" s="9">
        <v>45641</v>
      </c>
      <c r="B129" s="10" t="s">
        <v>35</v>
      </c>
      <c r="C129" s="10" t="s">
        <v>21</v>
      </c>
      <c r="D129" s="10" t="s">
        <v>24</v>
      </c>
      <c r="E129" s="11">
        <v>100</v>
      </c>
      <c r="F129" s="12">
        <v>1200</v>
      </c>
      <c r="G129" s="12">
        <v>800</v>
      </c>
      <c r="H129" s="12">
        <f t="shared" si="1"/>
        <v>120000</v>
      </c>
      <c r="I129" s="4">
        <f>SalesDataTable[[#This Row],[Total Sales]]-(SalesDataTable[[#This Row],[Cost of Goods]]*SalesDataTable[[#This Row],[Units Sold]])</f>
        <v>40000</v>
      </c>
    </row>
    <row r="130" spans="1:9" ht="19" customHeight="1">
      <c r="A130" s="9">
        <v>45641</v>
      </c>
      <c r="B130" s="10" t="s">
        <v>25</v>
      </c>
      <c r="C130" s="10" t="s">
        <v>14</v>
      </c>
      <c r="D130" s="10" t="s">
        <v>24</v>
      </c>
      <c r="E130" s="11">
        <v>141</v>
      </c>
      <c r="F130" s="12">
        <v>1250</v>
      </c>
      <c r="G130" s="12">
        <v>800</v>
      </c>
      <c r="H130" s="12">
        <f t="shared" ref="H130:H193" si="2">E130*F130</f>
        <v>176250</v>
      </c>
      <c r="I130" s="4">
        <f>SalesDataTable[[#This Row],[Total Sales]]-(SalesDataTable[[#This Row],[Cost of Goods]]*SalesDataTable[[#This Row],[Units Sold]])</f>
        <v>63450</v>
      </c>
    </row>
    <row r="131" spans="1:9" ht="19" customHeight="1">
      <c r="A131" s="9">
        <v>45641</v>
      </c>
      <c r="B131" s="10" t="s">
        <v>27</v>
      </c>
      <c r="C131" s="10" t="s">
        <v>12</v>
      </c>
      <c r="D131" s="10" t="s">
        <v>18</v>
      </c>
      <c r="E131" s="11">
        <v>136</v>
      </c>
      <c r="F131" s="12">
        <v>3000</v>
      </c>
      <c r="G131" s="12">
        <v>2100</v>
      </c>
      <c r="H131" s="12">
        <f t="shared" si="2"/>
        <v>408000</v>
      </c>
      <c r="I131" s="4">
        <f>SalesDataTable[[#This Row],[Total Sales]]-(SalesDataTable[[#This Row],[Cost of Goods]]*SalesDataTable[[#This Row],[Units Sold]])</f>
        <v>122400</v>
      </c>
    </row>
    <row r="132" spans="1:9" ht="19" customHeight="1">
      <c r="A132" s="9">
        <v>45643</v>
      </c>
      <c r="B132" s="10" t="s">
        <v>25</v>
      </c>
      <c r="C132" s="10" t="s">
        <v>9</v>
      </c>
      <c r="D132" s="10" t="s">
        <v>30</v>
      </c>
      <c r="E132" s="11">
        <v>140</v>
      </c>
      <c r="F132" s="12">
        <v>4950</v>
      </c>
      <c r="G132" s="12">
        <v>3050</v>
      </c>
      <c r="H132" s="12">
        <f t="shared" si="2"/>
        <v>693000</v>
      </c>
      <c r="I132" s="4">
        <f>SalesDataTable[[#This Row],[Total Sales]]-(SalesDataTable[[#This Row],[Cost of Goods]]*SalesDataTable[[#This Row],[Units Sold]])</f>
        <v>266000</v>
      </c>
    </row>
    <row r="133" spans="1:9" ht="19" customHeight="1">
      <c r="A133" s="9">
        <v>45646</v>
      </c>
      <c r="B133" s="10" t="s">
        <v>32</v>
      </c>
      <c r="C133" s="10" t="s">
        <v>9</v>
      </c>
      <c r="D133" s="10" t="s">
        <v>22</v>
      </c>
      <c r="E133" s="11">
        <v>149</v>
      </c>
      <c r="F133" s="12">
        <v>1000</v>
      </c>
      <c r="G133" s="12">
        <v>750</v>
      </c>
      <c r="H133" s="12">
        <f t="shared" si="2"/>
        <v>149000</v>
      </c>
      <c r="I133" s="4">
        <f>SalesDataTable[[#This Row],[Total Sales]]-(SalesDataTable[[#This Row],[Cost of Goods]]*SalesDataTable[[#This Row],[Units Sold]])</f>
        <v>37250</v>
      </c>
    </row>
    <row r="134" spans="1:9" ht="19" customHeight="1">
      <c r="A134" s="9">
        <v>45646</v>
      </c>
      <c r="B134" s="10" t="s">
        <v>13</v>
      </c>
      <c r="C134" s="10" t="s">
        <v>21</v>
      </c>
      <c r="D134" s="10" t="s">
        <v>26</v>
      </c>
      <c r="E134" s="11">
        <v>51</v>
      </c>
      <c r="F134" s="12">
        <v>2500</v>
      </c>
      <c r="G134" s="12">
        <v>1600</v>
      </c>
      <c r="H134" s="12">
        <f t="shared" si="2"/>
        <v>127500</v>
      </c>
      <c r="I134" s="4">
        <f>SalesDataTable[[#This Row],[Total Sales]]-(SalesDataTable[[#This Row],[Cost of Goods]]*SalesDataTable[[#This Row],[Units Sold]])</f>
        <v>45900</v>
      </c>
    </row>
    <row r="135" spans="1:9" ht="19" customHeight="1">
      <c r="A135" s="9">
        <v>45647</v>
      </c>
      <c r="B135" s="10" t="s">
        <v>27</v>
      </c>
      <c r="C135" s="10" t="s">
        <v>14</v>
      </c>
      <c r="D135" s="10" t="s">
        <v>26</v>
      </c>
      <c r="E135" s="11">
        <v>58</v>
      </c>
      <c r="F135" s="12">
        <v>2250</v>
      </c>
      <c r="G135" s="12">
        <v>1600</v>
      </c>
      <c r="H135" s="12">
        <f t="shared" si="2"/>
        <v>130500</v>
      </c>
      <c r="I135" s="4">
        <f>SalesDataTable[[#This Row],[Total Sales]]-(SalesDataTable[[#This Row],[Cost of Goods]]*SalesDataTable[[#This Row],[Units Sold]])</f>
        <v>37700</v>
      </c>
    </row>
    <row r="136" spans="1:9" ht="19" customHeight="1">
      <c r="A136" s="9">
        <v>45649</v>
      </c>
      <c r="B136" s="10" t="s">
        <v>37</v>
      </c>
      <c r="C136" s="10" t="s">
        <v>14</v>
      </c>
      <c r="D136" s="10" t="s">
        <v>31</v>
      </c>
      <c r="E136" s="11">
        <v>27</v>
      </c>
      <c r="F136" s="12">
        <v>650</v>
      </c>
      <c r="G136" s="12">
        <v>400</v>
      </c>
      <c r="H136" s="12">
        <f t="shared" si="2"/>
        <v>17550</v>
      </c>
      <c r="I136" s="4">
        <f>SalesDataTable[[#This Row],[Total Sales]]-(SalesDataTable[[#This Row],[Cost of Goods]]*SalesDataTable[[#This Row],[Units Sold]])</f>
        <v>6750</v>
      </c>
    </row>
    <row r="137" spans="1:9" ht="19" customHeight="1">
      <c r="A137" s="9">
        <v>45651</v>
      </c>
      <c r="B137" s="10" t="s">
        <v>32</v>
      </c>
      <c r="C137" s="10" t="s">
        <v>16</v>
      </c>
      <c r="D137" s="10" t="s">
        <v>26</v>
      </c>
      <c r="E137" s="11">
        <v>25</v>
      </c>
      <c r="F137" s="12">
        <v>2250</v>
      </c>
      <c r="G137" s="12">
        <v>1600</v>
      </c>
      <c r="H137" s="12">
        <f t="shared" si="2"/>
        <v>56250</v>
      </c>
      <c r="I137" s="4">
        <f>SalesDataTable[[#This Row],[Total Sales]]-(SalesDataTable[[#This Row],[Cost of Goods]]*SalesDataTable[[#This Row],[Units Sold]])</f>
        <v>16250</v>
      </c>
    </row>
    <row r="138" spans="1:9" ht="19" customHeight="1">
      <c r="A138" s="9">
        <v>45652</v>
      </c>
      <c r="B138" s="10" t="s">
        <v>29</v>
      </c>
      <c r="C138" s="10" t="s">
        <v>12</v>
      </c>
      <c r="D138" s="10" t="s">
        <v>26</v>
      </c>
      <c r="E138" s="11">
        <v>82</v>
      </c>
      <c r="F138" s="12">
        <v>2250</v>
      </c>
      <c r="G138" s="12">
        <v>1500</v>
      </c>
      <c r="H138" s="12">
        <f t="shared" si="2"/>
        <v>184500</v>
      </c>
      <c r="I138" s="4">
        <f>SalesDataTable[[#This Row],[Total Sales]]-(SalesDataTable[[#This Row],[Cost of Goods]]*SalesDataTable[[#This Row],[Units Sold]])</f>
        <v>61500</v>
      </c>
    </row>
    <row r="139" spans="1:9" ht="19" customHeight="1">
      <c r="A139" s="9">
        <v>45652</v>
      </c>
      <c r="B139" s="10" t="s">
        <v>34</v>
      </c>
      <c r="C139" s="10" t="s">
        <v>21</v>
      </c>
      <c r="D139" s="10" t="s">
        <v>28</v>
      </c>
      <c r="E139" s="11">
        <v>113</v>
      </c>
      <c r="F139" s="12">
        <v>3800</v>
      </c>
      <c r="G139" s="12">
        <v>3150</v>
      </c>
      <c r="H139" s="12">
        <f t="shared" si="2"/>
        <v>429400</v>
      </c>
      <c r="I139" s="4">
        <f>SalesDataTable[[#This Row],[Total Sales]]-(SalesDataTable[[#This Row],[Cost of Goods]]*SalesDataTable[[#This Row],[Units Sold]])</f>
        <v>73450</v>
      </c>
    </row>
    <row r="140" spans="1:9" ht="19" customHeight="1">
      <c r="A140" s="9">
        <v>45656</v>
      </c>
      <c r="B140" s="10" t="s">
        <v>35</v>
      </c>
      <c r="C140" s="10" t="s">
        <v>12</v>
      </c>
      <c r="D140" s="10" t="s">
        <v>28</v>
      </c>
      <c r="E140" s="11">
        <v>65</v>
      </c>
      <c r="F140" s="12">
        <v>3800</v>
      </c>
      <c r="G140" s="12">
        <v>3150</v>
      </c>
      <c r="H140" s="12">
        <f t="shared" si="2"/>
        <v>247000</v>
      </c>
      <c r="I140" s="4">
        <f>SalesDataTable[[#This Row],[Total Sales]]-(SalesDataTable[[#This Row],[Cost of Goods]]*SalesDataTable[[#This Row],[Units Sold]])</f>
        <v>42250</v>
      </c>
    </row>
    <row r="141" spans="1:9" ht="19" customHeight="1">
      <c r="A141" s="9">
        <v>45656</v>
      </c>
      <c r="B141" s="10" t="s">
        <v>20</v>
      </c>
      <c r="C141" s="10" t="s">
        <v>12</v>
      </c>
      <c r="D141" s="10" t="s">
        <v>24</v>
      </c>
      <c r="E141" s="11">
        <v>50</v>
      </c>
      <c r="F141" s="12">
        <v>1100</v>
      </c>
      <c r="G141" s="12">
        <v>850</v>
      </c>
      <c r="H141" s="12">
        <f t="shared" si="2"/>
        <v>55000</v>
      </c>
      <c r="I141" s="4">
        <f>SalesDataTable[[#This Row],[Total Sales]]-(SalesDataTable[[#This Row],[Cost of Goods]]*SalesDataTable[[#This Row],[Units Sold]])</f>
        <v>12500</v>
      </c>
    </row>
    <row r="142" spans="1:9" ht="19" customHeight="1">
      <c r="A142" s="9">
        <v>45658</v>
      </c>
      <c r="B142" s="10" t="s">
        <v>17</v>
      </c>
      <c r="C142" s="10" t="s">
        <v>9</v>
      </c>
      <c r="D142" s="10" t="s">
        <v>26</v>
      </c>
      <c r="E142" s="11">
        <v>137</v>
      </c>
      <c r="F142" s="12">
        <v>2250</v>
      </c>
      <c r="G142" s="12">
        <v>1600</v>
      </c>
      <c r="H142" s="12">
        <f t="shared" si="2"/>
        <v>308250</v>
      </c>
      <c r="I142" s="4">
        <f>SalesDataTable[[#This Row],[Total Sales]]-(SalesDataTable[[#This Row],[Cost of Goods]]*SalesDataTable[[#This Row],[Units Sold]])</f>
        <v>89050</v>
      </c>
    </row>
    <row r="143" spans="1:9" ht="19" customHeight="1">
      <c r="A143" s="9">
        <v>45663</v>
      </c>
      <c r="B143" s="10" t="s">
        <v>20</v>
      </c>
      <c r="C143" s="10" t="s">
        <v>14</v>
      </c>
      <c r="D143" s="10" t="s">
        <v>30</v>
      </c>
      <c r="E143" s="11">
        <v>55</v>
      </c>
      <c r="F143" s="12">
        <v>4950</v>
      </c>
      <c r="G143" s="12">
        <v>3350</v>
      </c>
      <c r="H143" s="12">
        <f t="shared" si="2"/>
        <v>272250</v>
      </c>
      <c r="I143" s="4">
        <f>SalesDataTable[[#This Row],[Total Sales]]-(SalesDataTable[[#This Row],[Cost of Goods]]*SalesDataTable[[#This Row],[Units Sold]])</f>
        <v>88000</v>
      </c>
    </row>
    <row r="144" spans="1:9" ht="19" customHeight="1">
      <c r="A144" s="9">
        <v>45663</v>
      </c>
      <c r="B144" s="10" t="s">
        <v>37</v>
      </c>
      <c r="C144" s="10" t="s">
        <v>12</v>
      </c>
      <c r="D144" s="10" t="s">
        <v>31</v>
      </c>
      <c r="E144" s="11">
        <v>26</v>
      </c>
      <c r="F144" s="12">
        <v>650</v>
      </c>
      <c r="G144" s="12">
        <v>400</v>
      </c>
      <c r="H144" s="12">
        <f t="shared" si="2"/>
        <v>16900</v>
      </c>
      <c r="I144" s="4">
        <f>SalesDataTable[[#This Row],[Total Sales]]-(SalesDataTable[[#This Row],[Cost of Goods]]*SalesDataTable[[#This Row],[Units Sold]])</f>
        <v>6500</v>
      </c>
    </row>
    <row r="145" spans="1:9" ht="19" customHeight="1">
      <c r="A145" s="9">
        <v>45664</v>
      </c>
      <c r="B145" s="10" t="s">
        <v>23</v>
      </c>
      <c r="C145" s="10" t="s">
        <v>16</v>
      </c>
      <c r="D145" s="10" t="s">
        <v>26</v>
      </c>
      <c r="E145" s="11">
        <v>72</v>
      </c>
      <c r="F145" s="12">
        <v>2750</v>
      </c>
      <c r="G145" s="12">
        <v>1600</v>
      </c>
      <c r="H145" s="12">
        <f t="shared" si="2"/>
        <v>198000</v>
      </c>
      <c r="I145" s="4">
        <f>SalesDataTable[[#This Row],[Total Sales]]-(SalesDataTable[[#This Row],[Cost of Goods]]*SalesDataTable[[#This Row],[Units Sold]])</f>
        <v>82800</v>
      </c>
    </row>
    <row r="146" spans="1:9" ht="19" customHeight="1">
      <c r="A146" s="9">
        <v>45667</v>
      </c>
      <c r="B146" s="10" t="s">
        <v>35</v>
      </c>
      <c r="C146" s="10" t="s">
        <v>16</v>
      </c>
      <c r="D146" s="10" t="s">
        <v>30</v>
      </c>
      <c r="E146" s="11">
        <v>41</v>
      </c>
      <c r="F146" s="12">
        <v>4500</v>
      </c>
      <c r="G146" s="12">
        <v>3200</v>
      </c>
      <c r="H146" s="12">
        <f t="shared" si="2"/>
        <v>184500</v>
      </c>
      <c r="I146" s="4">
        <f>SalesDataTable[[#This Row],[Total Sales]]-(SalesDataTable[[#This Row],[Cost of Goods]]*SalesDataTable[[#This Row],[Units Sold]])</f>
        <v>53300</v>
      </c>
    </row>
    <row r="147" spans="1:9" ht="19" customHeight="1">
      <c r="A147" s="9">
        <v>45671</v>
      </c>
      <c r="B147" s="10" t="s">
        <v>25</v>
      </c>
      <c r="C147" s="10" t="s">
        <v>9</v>
      </c>
      <c r="D147" s="10" t="s">
        <v>24</v>
      </c>
      <c r="E147" s="11">
        <v>122</v>
      </c>
      <c r="F147" s="12">
        <v>1300</v>
      </c>
      <c r="G147" s="12">
        <v>800</v>
      </c>
      <c r="H147" s="12">
        <f t="shared" si="2"/>
        <v>158600</v>
      </c>
      <c r="I147" s="4">
        <f>SalesDataTable[[#This Row],[Total Sales]]-(SalesDataTable[[#This Row],[Cost of Goods]]*SalesDataTable[[#This Row],[Units Sold]])</f>
        <v>61000</v>
      </c>
    </row>
    <row r="148" spans="1:9" ht="19" customHeight="1">
      <c r="A148" s="9">
        <v>45672</v>
      </c>
      <c r="B148" s="10" t="s">
        <v>17</v>
      </c>
      <c r="C148" s="10" t="s">
        <v>21</v>
      </c>
      <c r="D148" s="10" t="s">
        <v>10</v>
      </c>
      <c r="E148" s="11">
        <v>138</v>
      </c>
      <c r="F148" s="12">
        <v>3700</v>
      </c>
      <c r="G148" s="12">
        <v>2500</v>
      </c>
      <c r="H148" s="12">
        <f t="shared" si="2"/>
        <v>510600</v>
      </c>
      <c r="I148" s="4">
        <f>SalesDataTable[[#This Row],[Total Sales]]-(SalesDataTable[[#This Row],[Cost of Goods]]*SalesDataTable[[#This Row],[Units Sold]])</f>
        <v>165600</v>
      </c>
    </row>
    <row r="149" spans="1:9" ht="19" customHeight="1">
      <c r="A149" s="9">
        <v>45672</v>
      </c>
      <c r="B149" s="10" t="s">
        <v>25</v>
      </c>
      <c r="C149" s="10" t="s">
        <v>14</v>
      </c>
      <c r="D149" s="10" t="s">
        <v>24</v>
      </c>
      <c r="E149" s="11">
        <v>53</v>
      </c>
      <c r="F149" s="12">
        <v>1250</v>
      </c>
      <c r="G149" s="12">
        <v>750</v>
      </c>
      <c r="H149" s="12">
        <f t="shared" si="2"/>
        <v>66250</v>
      </c>
      <c r="I149" s="4">
        <f>SalesDataTable[[#This Row],[Total Sales]]-(SalesDataTable[[#This Row],[Cost of Goods]]*SalesDataTable[[#This Row],[Units Sold]])</f>
        <v>26500</v>
      </c>
    </row>
    <row r="150" spans="1:9" ht="19" customHeight="1">
      <c r="A150" s="9">
        <v>45673</v>
      </c>
      <c r="B150" s="10" t="s">
        <v>17</v>
      </c>
      <c r="C150" s="10" t="s">
        <v>21</v>
      </c>
      <c r="D150" s="10" t="s">
        <v>24</v>
      </c>
      <c r="E150" s="11">
        <v>51</v>
      </c>
      <c r="F150" s="12">
        <v>1300</v>
      </c>
      <c r="G150" s="12">
        <v>850</v>
      </c>
      <c r="H150" s="12">
        <f t="shared" si="2"/>
        <v>66300</v>
      </c>
      <c r="I150" s="4">
        <f>SalesDataTable[[#This Row],[Total Sales]]-(SalesDataTable[[#This Row],[Cost of Goods]]*SalesDataTable[[#This Row],[Units Sold]])</f>
        <v>22950</v>
      </c>
    </row>
    <row r="151" spans="1:9" ht="19" customHeight="1">
      <c r="A151" s="9">
        <v>45673</v>
      </c>
      <c r="B151" s="10" t="s">
        <v>34</v>
      </c>
      <c r="C151" s="10" t="s">
        <v>9</v>
      </c>
      <c r="D151" s="10" t="s">
        <v>24</v>
      </c>
      <c r="E151" s="11">
        <v>62</v>
      </c>
      <c r="F151" s="12">
        <v>1200</v>
      </c>
      <c r="G151" s="12">
        <v>800</v>
      </c>
      <c r="H151" s="12">
        <f t="shared" si="2"/>
        <v>74400</v>
      </c>
      <c r="I151" s="4">
        <f>SalesDataTable[[#This Row],[Total Sales]]-(SalesDataTable[[#This Row],[Cost of Goods]]*SalesDataTable[[#This Row],[Units Sold]])</f>
        <v>24800</v>
      </c>
    </row>
    <row r="152" spans="1:9" ht="19" customHeight="1">
      <c r="A152" s="9">
        <v>45677</v>
      </c>
      <c r="B152" s="10" t="s">
        <v>20</v>
      </c>
      <c r="C152" s="10" t="s">
        <v>9</v>
      </c>
      <c r="D152" s="10" t="s">
        <v>28</v>
      </c>
      <c r="E152" s="11">
        <v>91</v>
      </c>
      <c r="F152" s="12">
        <v>4000</v>
      </c>
      <c r="G152" s="12">
        <v>3000</v>
      </c>
      <c r="H152" s="12">
        <f t="shared" si="2"/>
        <v>364000</v>
      </c>
      <c r="I152" s="4">
        <f>SalesDataTable[[#This Row],[Total Sales]]-(SalesDataTable[[#This Row],[Cost of Goods]]*SalesDataTable[[#This Row],[Units Sold]])</f>
        <v>91000</v>
      </c>
    </row>
    <row r="153" spans="1:9" ht="19" customHeight="1">
      <c r="A153" s="9">
        <v>45678</v>
      </c>
      <c r="B153" s="10" t="s">
        <v>19</v>
      </c>
      <c r="C153" s="10" t="s">
        <v>9</v>
      </c>
      <c r="D153" s="10" t="s">
        <v>28</v>
      </c>
      <c r="E153" s="11">
        <v>92</v>
      </c>
      <c r="F153" s="12">
        <v>4400</v>
      </c>
      <c r="G153" s="12">
        <v>3000</v>
      </c>
      <c r="H153" s="12">
        <f t="shared" si="2"/>
        <v>404800</v>
      </c>
      <c r="I153" s="4">
        <f>SalesDataTable[[#This Row],[Total Sales]]-(SalesDataTable[[#This Row],[Cost of Goods]]*SalesDataTable[[#This Row],[Units Sold]])</f>
        <v>128800</v>
      </c>
    </row>
    <row r="154" spans="1:9" ht="19" customHeight="1">
      <c r="A154" s="9">
        <v>45680</v>
      </c>
      <c r="B154" s="10" t="s">
        <v>32</v>
      </c>
      <c r="C154" s="10" t="s">
        <v>12</v>
      </c>
      <c r="D154" s="10" t="s">
        <v>18</v>
      </c>
      <c r="E154" s="11">
        <v>97</v>
      </c>
      <c r="F154" s="12">
        <v>2700</v>
      </c>
      <c r="G154" s="12">
        <v>2100</v>
      </c>
      <c r="H154" s="12">
        <f t="shared" si="2"/>
        <v>261900</v>
      </c>
      <c r="I154" s="4">
        <f>SalesDataTable[[#This Row],[Total Sales]]-(SalesDataTable[[#This Row],[Cost of Goods]]*SalesDataTable[[#This Row],[Units Sold]])</f>
        <v>58200</v>
      </c>
    </row>
    <row r="155" spans="1:9" ht="19" customHeight="1">
      <c r="A155" s="9">
        <v>45681</v>
      </c>
      <c r="B155" s="10" t="s">
        <v>11</v>
      </c>
      <c r="C155" s="10" t="s">
        <v>9</v>
      </c>
      <c r="D155" s="10" t="s">
        <v>31</v>
      </c>
      <c r="E155" s="11">
        <v>25</v>
      </c>
      <c r="F155" s="12">
        <v>600</v>
      </c>
      <c r="G155" s="12">
        <v>400</v>
      </c>
      <c r="H155" s="12">
        <f t="shared" si="2"/>
        <v>15000</v>
      </c>
      <c r="I155" s="4">
        <f>SalesDataTable[[#This Row],[Total Sales]]-(SalesDataTable[[#This Row],[Cost of Goods]]*SalesDataTable[[#This Row],[Units Sold]])</f>
        <v>5000</v>
      </c>
    </row>
    <row r="156" spans="1:9" ht="19" customHeight="1">
      <c r="A156" s="9">
        <v>45682</v>
      </c>
      <c r="B156" s="10" t="s">
        <v>32</v>
      </c>
      <c r="C156" s="10" t="s">
        <v>16</v>
      </c>
      <c r="D156" s="10" t="s">
        <v>31</v>
      </c>
      <c r="E156" s="11">
        <v>127</v>
      </c>
      <c r="F156" s="12">
        <v>600</v>
      </c>
      <c r="G156" s="12">
        <v>400</v>
      </c>
      <c r="H156" s="12">
        <f t="shared" si="2"/>
        <v>76200</v>
      </c>
      <c r="I156" s="4">
        <f>SalesDataTable[[#This Row],[Total Sales]]-(SalesDataTable[[#This Row],[Cost of Goods]]*SalesDataTable[[#This Row],[Units Sold]])</f>
        <v>25400</v>
      </c>
    </row>
    <row r="157" spans="1:9" ht="19" customHeight="1">
      <c r="A157" s="9">
        <v>45685</v>
      </c>
      <c r="B157" s="10" t="s">
        <v>32</v>
      </c>
      <c r="C157" s="10" t="s">
        <v>9</v>
      </c>
      <c r="D157" s="10" t="s">
        <v>26</v>
      </c>
      <c r="E157" s="11">
        <v>23</v>
      </c>
      <c r="F157" s="12">
        <v>2250</v>
      </c>
      <c r="G157" s="12">
        <v>1500</v>
      </c>
      <c r="H157" s="12">
        <f t="shared" si="2"/>
        <v>51750</v>
      </c>
      <c r="I157" s="4">
        <f>SalesDataTable[[#This Row],[Total Sales]]-(SalesDataTable[[#This Row],[Cost of Goods]]*SalesDataTable[[#This Row],[Units Sold]])</f>
        <v>17250</v>
      </c>
    </row>
    <row r="158" spans="1:9" ht="19" customHeight="1">
      <c r="A158" s="9">
        <v>45685</v>
      </c>
      <c r="B158" s="10" t="s">
        <v>8</v>
      </c>
      <c r="C158" s="10" t="s">
        <v>21</v>
      </c>
      <c r="D158" s="10" t="s">
        <v>22</v>
      </c>
      <c r="E158" s="11">
        <v>22</v>
      </c>
      <c r="F158" s="12">
        <v>900</v>
      </c>
      <c r="G158" s="12">
        <v>750</v>
      </c>
      <c r="H158" s="12">
        <f t="shared" si="2"/>
        <v>19800</v>
      </c>
      <c r="I158" s="4">
        <f>SalesDataTable[[#This Row],[Total Sales]]-(SalesDataTable[[#This Row],[Cost of Goods]]*SalesDataTable[[#This Row],[Units Sold]])</f>
        <v>3300</v>
      </c>
    </row>
    <row r="159" spans="1:9" ht="19" customHeight="1">
      <c r="A159" s="9">
        <v>45688</v>
      </c>
      <c r="B159" s="10" t="s">
        <v>25</v>
      </c>
      <c r="C159" s="10" t="s">
        <v>9</v>
      </c>
      <c r="D159" s="10" t="s">
        <v>26</v>
      </c>
      <c r="E159" s="11">
        <v>87</v>
      </c>
      <c r="F159" s="12">
        <v>2500</v>
      </c>
      <c r="G159" s="12">
        <v>1700</v>
      </c>
      <c r="H159" s="12">
        <f t="shared" si="2"/>
        <v>217500</v>
      </c>
      <c r="I159" s="4">
        <f>SalesDataTable[[#This Row],[Total Sales]]-(SalesDataTable[[#This Row],[Cost of Goods]]*SalesDataTable[[#This Row],[Units Sold]])</f>
        <v>69600</v>
      </c>
    </row>
    <row r="160" spans="1:9" ht="19" customHeight="1">
      <c r="A160" s="9">
        <v>45688</v>
      </c>
      <c r="B160" s="10" t="s">
        <v>20</v>
      </c>
      <c r="C160" s="10" t="s">
        <v>9</v>
      </c>
      <c r="D160" s="10" t="s">
        <v>18</v>
      </c>
      <c r="E160" s="11">
        <v>23</v>
      </c>
      <c r="F160" s="12">
        <v>3000</v>
      </c>
      <c r="G160" s="12">
        <v>2000</v>
      </c>
      <c r="H160" s="12">
        <f t="shared" si="2"/>
        <v>69000</v>
      </c>
      <c r="I160" s="4">
        <f>SalesDataTable[[#This Row],[Total Sales]]-(SalesDataTable[[#This Row],[Cost of Goods]]*SalesDataTable[[#This Row],[Units Sold]])</f>
        <v>23000</v>
      </c>
    </row>
    <row r="161" spans="1:9" ht="19" customHeight="1">
      <c r="A161" s="9">
        <v>45690</v>
      </c>
      <c r="B161" s="10" t="s">
        <v>37</v>
      </c>
      <c r="C161" s="10" t="s">
        <v>14</v>
      </c>
      <c r="D161" s="10" t="s">
        <v>22</v>
      </c>
      <c r="E161" s="11">
        <v>25</v>
      </c>
      <c r="F161" s="12">
        <v>1000</v>
      </c>
      <c r="G161" s="12">
        <v>750</v>
      </c>
      <c r="H161" s="12">
        <f t="shared" si="2"/>
        <v>25000</v>
      </c>
      <c r="I161" s="4">
        <f>SalesDataTable[[#This Row],[Total Sales]]-(SalesDataTable[[#This Row],[Cost of Goods]]*SalesDataTable[[#This Row],[Units Sold]])</f>
        <v>6250</v>
      </c>
    </row>
    <row r="162" spans="1:9" ht="19" customHeight="1">
      <c r="A162" s="9">
        <v>45695</v>
      </c>
      <c r="B162" s="10" t="s">
        <v>32</v>
      </c>
      <c r="C162" s="10" t="s">
        <v>16</v>
      </c>
      <c r="D162" s="10" t="s">
        <v>24</v>
      </c>
      <c r="E162" s="11">
        <v>44</v>
      </c>
      <c r="F162" s="12">
        <v>1200</v>
      </c>
      <c r="G162" s="12">
        <v>750</v>
      </c>
      <c r="H162" s="12">
        <f t="shared" si="2"/>
        <v>52800</v>
      </c>
      <c r="I162" s="4">
        <f>SalesDataTable[[#This Row],[Total Sales]]-(SalesDataTable[[#This Row],[Cost of Goods]]*SalesDataTable[[#This Row],[Units Sold]])</f>
        <v>19800</v>
      </c>
    </row>
    <row r="163" spans="1:9" ht="19" customHeight="1">
      <c r="A163" s="9">
        <v>45697</v>
      </c>
      <c r="B163" s="10" t="s">
        <v>32</v>
      </c>
      <c r="C163" s="10" t="s">
        <v>12</v>
      </c>
      <c r="D163" s="10" t="s">
        <v>22</v>
      </c>
      <c r="E163" s="11">
        <v>140</v>
      </c>
      <c r="F163" s="12">
        <v>1100</v>
      </c>
      <c r="G163" s="12">
        <v>700</v>
      </c>
      <c r="H163" s="12">
        <f t="shared" si="2"/>
        <v>154000</v>
      </c>
      <c r="I163" s="4">
        <f>SalesDataTable[[#This Row],[Total Sales]]-(SalesDataTable[[#This Row],[Cost of Goods]]*SalesDataTable[[#This Row],[Units Sold]])</f>
        <v>56000</v>
      </c>
    </row>
    <row r="164" spans="1:9" ht="19" customHeight="1">
      <c r="A164" s="9">
        <v>45699</v>
      </c>
      <c r="B164" s="10" t="s">
        <v>11</v>
      </c>
      <c r="C164" s="10" t="s">
        <v>16</v>
      </c>
      <c r="D164" s="10" t="s">
        <v>10</v>
      </c>
      <c r="E164" s="11">
        <v>71</v>
      </c>
      <c r="F164" s="12">
        <v>3350</v>
      </c>
      <c r="G164" s="12">
        <v>2500</v>
      </c>
      <c r="H164" s="12">
        <f t="shared" si="2"/>
        <v>237850</v>
      </c>
      <c r="I164" s="4">
        <f>SalesDataTable[[#This Row],[Total Sales]]-(SalesDataTable[[#This Row],[Cost of Goods]]*SalesDataTable[[#This Row],[Units Sold]])</f>
        <v>60350</v>
      </c>
    </row>
    <row r="165" spans="1:9" ht="19" customHeight="1">
      <c r="A165" s="9">
        <v>45699</v>
      </c>
      <c r="B165" s="10" t="s">
        <v>23</v>
      </c>
      <c r="C165" s="10" t="s">
        <v>16</v>
      </c>
      <c r="D165" s="10" t="s">
        <v>15</v>
      </c>
      <c r="E165" s="11">
        <v>79</v>
      </c>
      <c r="F165" s="12">
        <v>11000</v>
      </c>
      <c r="G165" s="12">
        <v>7350</v>
      </c>
      <c r="H165" s="12">
        <f t="shared" si="2"/>
        <v>869000</v>
      </c>
      <c r="I165" s="4">
        <f>SalesDataTable[[#This Row],[Total Sales]]-(SalesDataTable[[#This Row],[Cost of Goods]]*SalesDataTable[[#This Row],[Units Sold]])</f>
        <v>288350</v>
      </c>
    </row>
    <row r="166" spans="1:9" ht="19" customHeight="1">
      <c r="A166" s="9">
        <v>45699</v>
      </c>
      <c r="B166" s="10" t="s">
        <v>35</v>
      </c>
      <c r="C166" s="10" t="s">
        <v>16</v>
      </c>
      <c r="D166" s="10" t="s">
        <v>15</v>
      </c>
      <c r="E166" s="11">
        <v>129</v>
      </c>
      <c r="F166" s="12">
        <v>11000</v>
      </c>
      <c r="G166" s="12">
        <v>7350</v>
      </c>
      <c r="H166" s="12">
        <f t="shared" si="2"/>
        <v>1419000</v>
      </c>
      <c r="I166" s="4">
        <f>SalesDataTable[[#This Row],[Total Sales]]-(SalesDataTable[[#This Row],[Cost of Goods]]*SalesDataTable[[#This Row],[Units Sold]])</f>
        <v>470850</v>
      </c>
    </row>
    <row r="167" spans="1:9" ht="19" customHeight="1">
      <c r="A167" s="9">
        <v>45705</v>
      </c>
      <c r="B167" s="10" t="s">
        <v>13</v>
      </c>
      <c r="C167" s="10" t="s">
        <v>16</v>
      </c>
      <c r="D167" s="10" t="s">
        <v>24</v>
      </c>
      <c r="E167" s="11">
        <v>144</v>
      </c>
      <c r="F167" s="12">
        <v>1100</v>
      </c>
      <c r="G167" s="12">
        <v>800</v>
      </c>
      <c r="H167" s="12">
        <f t="shared" si="2"/>
        <v>158400</v>
      </c>
      <c r="I167" s="4">
        <f>SalesDataTable[[#This Row],[Total Sales]]-(SalesDataTable[[#This Row],[Cost of Goods]]*SalesDataTable[[#This Row],[Units Sold]])</f>
        <v>43200</v>
      </c>
    </row>
    <row r="168" spans="1:9" ht="19" customHeight="1">
      <c r="A168" s="9">
        <v>45706</v>
      </c>
      <c r="B168" s="10" t="s">
        <v>37</v>
      </c>
      <c r="C168" s="10" t="s">
        <v>14</v>
      </c>
      <c r="D168" s="10" t="s">
        <v>28</v>
      </c>
      <c r="E168" s="11">
        <v>55</v>
      </c>
      <c r="F168" s="12">
        <v>4000</v>
      </c>
      <c r="G168" s="12">
        <v>2850</v>
      </c>
      <c r="H168" s="12">
        <f t="shared" si="2"/>
        <v>220000</v>
      </c>
      <c r="I168" s="4">
        <f>SalesDataTable[[#This Row],[Total Sales]]-(SalesDataTable[[#This Row],[Cost of Goods]]*SalesDataTable[[#This Row],[Units Sold]])</f>
        <v>63250</v>
      </c>
    </row>
    <row r="169" spans="1:9" ht="19" customHeight="1">
      <c r="A169" s="9">
        <v>45707</v>
      </c>
      <c r="B169" s="10" t="s">
        <v>27</v>
      </c>
      <c r="C169" s="10" t="s">
        <v>9</v>
      </c>
      <c r="D169" s="10" t="s">
        <v>18</v>
      </c>
      <c r="E169" s="11">
        <v>84</v>
      </c>
      <c r="F169" s="12">
        <v>2850</v>
      </c>
      <c r="G169" s="12">
        <v>2100</v>
      </c>
      <c r="H169" s="12">
        <f t="shared" si="2"/>
        <v>239400</v>
      </c>
      <c r="I169" s="4">
        <f>SalesDataTable[[#This Row],[Total Sales]]-(SalesDataTable[[#This Row],[Cost of Goods]]*SalesDataTable[[#This Row],[Units Sold]])</f>
        <v>63000</v>
      </c>
    </row>
    <row r="170" spans="1:9" ht="19" customHeight="1">
      <c r="A170" s="9">
        <v>45709</v>
      </c>
      <c r="B170" s="10" t="s">
        <v>13</v>
      </c>
      <c r="C170" s="10" t="s">
        <v>14</v>
      </c>
      <c r="D170" s="10" t="s">
        <v>24</v>
      </c>
      <c r="E170" s="11">
        <v>53</v>
      </c>
      <c r="F170" s="12">
        <v>1150</v>
      </c>
      <c r="G170" s="12">
        <v>800</v>
      </c>
      <c r="H170" s="12">
        <f t="shared" si="2"/>
        <v>60950</v>
      </c>
      <c r="I170" s="4">
        <f>SalesDataTable[[#This Row],[Total Sales]]-(SalesDataTable[[#This Row],[Cost of Goods]]*SalesDataTable[[#This Row],[Units Sold]])</f>
        <v>18550</v>
      </c>
    </row>
    <row r="171" spans="1:9" ht="19" customHeight="1">
      <c r="A171" s="9">
        <v>45710</v>
      </c>
      <c r="B171" s="10" t="s">
        <v>8</v>
      </c>
      <c r="C171" s="10" t="s">
        <v>12</v>
      </c>
      <c r="D171" s="10" t="s">
        <v>10</v>
      </c>
      <c r="E171" s="11">
        <v>90</v>
      </c>
      <c r="F171" s="12">
        <v>3500</v>
      </c>
      <c r="G171" s="12">
        <v>2500</v>
      </c>
      <c r="H171" s="12">
        <f t="shared" si="2"/>
        <v>315000</v>
      </c>
      <c r="I171" s="4">
        <f>SalesDataTable[[#This Row],[Total Sales]]-(SalesDataTable[[#This Row],[Cost of Goods]]*SalesDataTable[[#This Row],[Units Sold]])</f>
        <v>90000</v>
      </c>
    </row>
    <row r="172" spans="1:9" ht="19" customHeight="1">
      <c r="A172" s="9">
        <v>45710</v>
      </c>
      <c r="B172" s="10" t="s">
        <v>27</v>
      </c>
      <c r="C172" s="10" t="s">
        <v>16</v>
      </c>
      <c r="D172" s="10" t="s">
        <v>31</v>
      </c>
      <c r="E172" s="11">
        <v>114</v>
      </c>
      <c r="F172" s="12">
        <v>600</v>
      </c>
      <c r="G172" s="12">
        <v>400</v>
      </c>
      <c r="H172" s="12">
        <f t="shared" si="2"/>
        <v>68400</v>
      </c>
      <c r="I172" s="4">
        <f>SalesDataTable[[#This Row],[Total Sales]]-(SalesDataTable[[#This Row],[Cost of Goods]]*SalesDataTable[[#This Row],[Units Sold]])</f>
        <v>22800</v>
      </c>
    </row>
    <row r="173" spans="1:9" ht="19" customHeight="1">
      <c r="A173" s="9">
        <v>45710</v>
      </c>
      <c r="B173" s="10" t="s">
        <v>34</v>
      </c>
      <c r="C173" s="10" t="s">
        <v>12</v>
      </c>
      <c r="D173" s="10" t="s">
        <v>26</v>
      </c>
      <c r="E173" s="11">
        <v>139</v>
      </c>
      <c r="F173" s="12">
        <v>2250</v>
      </c>
      <c r="G173" s="12">
        <v>1700</v>
      </c>
      <c r="H173" s="12">
        <f t="shared" si="2"/>
        <v>312750</v>
      </c>
      <c r="I173" s="4">
        <f>SalesDataTable[[#This Row],[Total Sales]]-(SalesDataTable[[#This Row],[Cost of Goods]]*SalesDataTable[[#This Row],[Units Sold]])</f>
        <v>76450</v>
      </c>
    </row>
    <row r="174" spans="1:9" ht="19" customHeight="1">
      <c r="A174" s="9">
        <v>45710</v>
      </c>
      <c r="B174" s="10" t="s">
        <v>19</v>
      </c>
      <c r="C174" s="10" t="s">
        <v>21</v>
      </c>
      <c r="D174" s="10" t="s">
        <v>15</v>
      </c>
      <c r="E174" s="11">
        <v>87</v>
      </c>
      <c r="F174" s="12">
        <v>10000</v>
      </c>
      <c r="G174" s="12">
        <v>7000</v>
      </c>
      <c r="H174" s="12">
        <f t="shared" si="2"/>
        <v>870000</v>
      </c>
      <c r="I174" s="4">
        <f>SalesDataTable[[#This Row],[Total Sales]]-(SalesDataTable[[#This Row],[Cost of Goods]]*SalesDataTable[[#This Row],[Units Sold]])</f>
        <v>261000</v>
      </c>
    </row>
    <row r="175" spans="1:9" ht="19" customHeight="1">
      <c r="A175" s="9">
        <v>45718</v>
      </c>
      <c r="B175" s="10" t="s">
        <v>27</v>
      </c>
      <c r="C175" s="10" t="s">
        <v>16</v>
      </c>
      <c r="D175" s="10" t="s">
        <v>10</v>
      </c>
      <c r="E175" s="11">
        <v>148</v>
      </c>
      <c r="F175" s="12">
        <v>3850</v>
      </c>
      <c r="G175" s="12">
        <v>2650</v>
      </c>
      <c r="H175" s="12">
        <f t="shared" si="2"/>
        <v>569800</v>
      </c>
      <c r="I175" s="4">
        <f>SalesDataTable[[#This Row],[Total Sales]]-(SalesDataTable[[#This Row],[Cost of Goods]]*SalesDataTable[[#This Row],[Units Sold]])</f>
        <v>177600</v>
      </c>
    </row>
    <row r="176" spans="1:9" ht="19" customHeight="1">
      <c r="A176" s="9">
        <v>45725</v>
      </c>
      <c r="B176" s="10" t="s">
        <v>32</v>
      </c>
      <c r="C176" s="10" t="s">
        <v>14</v>
      </c>
      <c r="D176" s="10" t="s">
        <v>30</v>
      </c>
      <c r="E176" s="11">
        <v>90</v>
      </c>
      <c r="F176" s="12">
        <v>4300</v>
      </c>
      <c r="G176" s="12">
        <v>3200</v>
      </c>
      <c r="H176" s="12">
        <f t="shared" si="2"/>
        <v>387000</v>
      </c>
      <c r="I176" s="4">
        <f>SalesDataTable[[#This Row],[Total Sales]]-(SalesDataTable[[#This Row],[Cost of Goods]]*SalesDataTable[[#This Row],[Units Sold]])</f>
        <v>99000</v>
      </c>
    </row>
    <row r="177" spans="1:9" ht="19" customHeight="1">
      <c r="A177" s="9">
        <v>45726</v>
      </c>
      <c r="B177" s="10" t="s">
        <v>35</v>
      </c>
      <c r="C177" s="10" t="s">
        <v>21</v>
      </c>
      <c r="D177" s="10" t="s">
        <v>31</v>
      </c>
      <c r="E177" s="11">
        <v>29</v>
      </c>
      <c r="F177" s="12">
        <v>600</v>
      </c>
      <c r="G177" s="12">
        <v>400</v>
      </c>
      <c r="H177" s="12">
        <f t="shared" si="2"/>
        <v>17400</v>
      </c>
      <c r="I177" s="4">
        <f>SalesDataTable[[#This Row],[Total Sales]]-(SalesDataTable[[#This Row],[Cost of Goods]]*SalesDataTable[[#This Row],[Units Sold]])</f>
        <v>5800</v>
      </c>
    </row>
    <row r="178" spans="1:9" ht="19" customHeight="1">
      <c r="A178" s="9">
        <v>45726</v>
      </c>
      <c r="B178" s="10" t="s">
        <v>23</v>
      </c>
      <c r="C178" s="10" t="s">
        <v>9</v>
      </c>
      <c r="D178" s="10" t="s">
        <v>33</v>
      </c>
      <c r="E178" s="11">
        <v>73</v>
      </c>
      <c r="F178" s="12">
        <v>6000</v>
      </c>
      <c r="G178" s="12">
        <v>3800</v>
      </c>
      <c r="H178" s="12">
        <f t="shared" si="2"/>
        <v>438000</v>
      </c>
      <c r="I178" s="4">
        <f>SalesDataTable[[#This Row],[Total Sales]]-(SalesDataTable[[#This Row],[Cost of Goods]]*SalesDataTable[[#This Row],[Units Sold]])</f>
        <v>160600</v>
      </c>
    </row>
    <row r="179" spans="1:9" ht="19" customHeight="1">
      <c r="A179" s="9">
        <v>45730</v>
      </c>
      <c r="B179" s="10" t="s">
        <v>13</v>
      </c>
      <c r="C179" s="10" t="s">
        <v>14</v>
      </c>
      <c r="D179" s="10" t="s">
        <v>31</v>
      </c>
      <c r="E179" s="11">
        <v>52</v>
      </c>
      <c r="F179" s="12">
        <v>600</v>
      </c>
      <c r="G179" s="12">
        <v>400</v>
      </c>
      <c r="H179" s="12">
        <f t="shared" si="2"/>
        <v>31200</v>
      </c>
      <c r="I179" s="4">
        <f>SalesDataTable[[#This Row],[Total Sales]]-(SalesDataTable[[#This Row],[Cost of Goods]]*SalesDataTable[[#This Row],[Units Sold]])</f>
        <v>10400</v>
      </c>
    </row>
    <row r="180" spans="1:9" ht="19" customHeight="1">
      <c r="A180" s="9">
        <v>45737</v>
      </c>
      <c r="B180" s="10" t="s">
        <v>19</v>
      </c>
      <c r="C180" s="10" t="s">
        <v>14</v>
      </c>
      <c r="D180" s="10" t="s">
        <v>33</v>
      </c>
      <c r="E180" s="11">
        <v>58</v>
      </c>
      <c r="F180" s="12">
        <v>5400</v>
      </c>
      <c r="G180" s="12">
        <v>3800</v>
      </c>
      <c r="H180" s="12">
        <f t="shared" si="2"/>
        <v>313200</v>
      </c>
      <c r="I180" s="4">
        <f>SalesDataTable[[#This Row],[Total Sales]]-(SalesDataTable[[#This Row],[Cost of Goods]]*SalesDataTable[[#This Row],[Units Sold]])</f>
        <v>92800</v>
      </c>
    </row>
    <row r="181" spans="1:9" ht="19" customHeight="1">
      <c r="A181" s="9">
        <v>45737</v>
      </c>
      <c r="B181" s="10" t="s">
        <v>11</v>
      </c>
      <c r="C181" s="10" t="s">
        <v>21</v>
      </c>
      <c r="D181" s="10" t="s">
        <v>30</v>
      </c>
      <c r="E181" s="11">
        <v>90</v>
      </c>
      <c r="F181" s="12">
        <v>4050</v>
      </c>
      <c r="G181" s="12">
        <v>3050</v>
      </c>
      <c r="H181" s="12">
        <f t="shared" si="2"/>
        <v>364500</v>
      </c>
      <c r="I181" s="4">
        <f>SalesDataTable[[#This Row],[Total Sales]]-(SalesDataTable[[#This Row],[Cost of Goods]]*SalesDataTable[[#This Row],[Units Sold]])</f>
        <v>90000</v>
      </c>
    </row>
    <row r="182" spans="1:9" ht="19" customHeight="1">
      <c r="A182" s="9">
        <v>45742</v>
      </c>
      <c r="B182" s="10" t="s">
        <v>27</v>
      </c>
      <c r="C182" s="10" t="s">
        <v>16</v>
      </c>
      <c r="D182" s="10" t="s">
        <v>15</v>
      </c>
      <c r="E182" s="11">
        <v>64</v>
      </c>
      <c r="F182" s="12">
        <v>10500</v>
      </c>
      <c r="G182" s="12">
        <v>6650</v>
      </c>
      <c r="H182" s="12">
        <f t="shared" si="2"/>
        <v>672000</v>
      </c>
      <c r="I182" s="4">
        <f>SalesDataTable[[#This Row],[Total Sales]]-(SalesDataTable[[#This Row],[Cost of Goods]]*SalesDataTable[[#This Row],[Units Sold]])</f>
        <v>246400</v>
      </c>
    </row>
    <row r="183" spans="1:9" ht="19" customHeight="1">
      <c r="A183" s="9">
        <v>45742</v>
      </c>
      <c r="B183" s="10" t="s">
        <v>17</v>
      </c>
      <c r="C183" s="10" t="s">
        <v>9</v>
      </c>
      <c r="D183" s="10" t="s">
        <v>28</v>
      </c>
      <c r="E183" s="11">
        <v>141</v>
      </c>
      <c r="F183" s="12">
        <v>4000</v>
      </c>
      <c r="G183" s="12">
        <v>3000</v>
      </c>
      <c r="H183" s="12">
        <f t="shared" si="2"/>
        <v>564000</v>
      </c>
      <c r="I183" s="4">
        <f>SalesDataTable[[#This Row],[Total Sales]]-(SalesDataTable[[#This Row],[Cost of Goods]]*SalesDataTable[[#This Row],[Units Sold]])</f>
        <v>141000</v>
      </c>
    </row>
    <row r="184" spans="1:9" ht="19" customHeight="1">
      <c r="A184" s="9">
        <v>45743</v>
      </c>
      <c r="B184" s="10" t="s">
        <v>36</v>
      </c>
      <c r="C184" s="10" t="s">
        <v>16</v>
      </c>
      <c r="D184" s="10" t="s">
        <v>26</v>
      </c>
      <c r="E184" s="11">
        <v>25</v>
      </c>
      <c r="F184" s="12">
        <v>2250</v>
      </c>
      <c r="G184" s="12">
        <v>1500</v>
      </c>
      <c r="H184" s="12">
        <f t="shared" si="2"/>
        <v>56250</v>
      </c>
      <c r="I184" s="4">
        <f>SalesDataTable[[#This Row],[Total Sales]]-(SalesDataTable[[#This Row],[Cost of Goods]]*SalesDataTable[[#This Row],[Units Sold]])</f>
        <v>18750</v>
      </c>
    </row>
    <row r="185" spans="1:9" ht="19" customHeight="1">
      <c r="A185" s="9">
        <v>45751</v>
      </c>
      <c r="B185" s="10" t="s">
        <v>25</v>
      </c>
      <c r="C185" s="10" t="s">
        <v>16</v>
      </c>
      <c r="D185" s="10" t="s">
        <v>28</v>
      </c>
      <c r="E185" s="11">
        <v>46</v>
      </c>
      <c r="F185" s="12">
        <v>4000</v>
      </c>
      <c r="G185" s="12">
        <v>3000</v>
      </c>
      <c r="H185" s="12">
        <f t="shared" si="2"/>
        <v>184000</v>
      </c>
      <c r="I185" s="4">
        <f>SalesDataTable[[#This Row],[Total Sales]]-(SalesDataTable[[#This Row],[Cost of Goods]]*SalesDataTable[[#This Row],[Units Sold]])</f>
        <v>46000</v>
      </c>
    </row>
    <row r="186" spans="1:9" ht="19" customHeight="1">
      <c r="A186" s="9">
        <v>45752</v>
      </c>
      <c r="B186" s="10" t="s">
        <v>29</v>
      </c>
      <c r="C186" s="10" t="s">
        <v>14</v>
      </c>
      <c r="D186" s="10" t="s">
        <v>26</v>
      </c>
      <c r="E186" s="11">
        <v>147</v>
      </c>
      <c r="F186" s="12">
        <v>2250</v>
      </c>
      <c r="G186" s="12">
        <v>1700</v>
      </c>
      <c r="H186" s="12">
        <f t="shared" si="2"/>
        <v>330750</v>
      </c>
      <c r="I186" s="4">
        <f>SalesDataTable[[#This Row],[Total Sales]]-(SalesDataTable[[#This Row],[Cost of Goods]]*SalesDataTable[[#This Row],[Units Sold]])</f>
        <v>80850</v>
      </c>
    </row>
    <row r="187" spans="1:9" ht="19" customHeight="1">
      <c r="A187" s="9">
        <v>45752</v>
      </c>
      <c r="B187" s="10" t="s">
        <v>32</v>
      </c>
      <c r="C187" s="10" t="s">
        <v>16</v>
      </c>
      <c r="D187" s="10" t="s">
        <v>31</v>
      </c>
      <c r="E187" s="11">
        <v>52</v>
      </c>
      <c r="F187" s="12">
        <v>600</v>
      </c>
      <c r="G187" s="12">
        <v>400</v>
      </c>
      <c r="H187" s="12">
        <f t="shared" si="2"/>
        <v>31200</v>
      </c>
      <c r="I187" s="4">
        <f>SalesDataTable[[#This Row],[Total Sales]]-(SalesDataTable[[#This Row],[Cost of Goods]]*SalesDataTable[[#This Row],[Units Sold]])</f>
        <v>10400</v>
      </c>
    </row>
    <row r="188" spans="1:9" ht="19" customHeight="1">
      <c r="A188" s="9">
        <v>45753</v>
      </c>
      <c r="B188" s="10" t="s">
        <v>35</v>
      </c>
      <c r="C188" s="10" t="s">
        <v>9</v>
      </c>
      <c r="D188" s="10" t="s">
        <v>33</v>
      </c>
      <c r="E188" s="11">
        <v>47</v>
      </c>
      <c r="F188" s="12">
        <v>6000</v>
      </c>
      <c r="G188" s="12">
        <v>4000</v>
      </c>
      <c r="H188" s="12">
        <f t="shared" si="2"/>
        <v>282000</v>
      </c>
      <c r="I188" s="4">
        <f>SalesDataTable[[#This Row],[Total Sales]]-(SalesDataTable[[#This Row],[Cost of Goods]]*SalesDataTable[[#This Row],[Units Sold]])</f>
        <v>94000</v>
      </c>
    </row>
    <row r="189" spans="1:9" ht="19" customHeight="1">
      <c r="A189" s="9">
        <v>45758</v>
      </c>
      <c r="B189" s="10" t="s">
        <v>13</v>
      </c>
      <c r="C189" s="10" t="s">
        <v>21</v>
      </c>
      <c r="D189" s="10" t="s">
        <v>26</v>
      </c>
      <c r="E189" s="11">
        <v>29</v>
      </c>
      <c r="F189" s="12">
        <v>2500</v>
      </c>
      <c r="G189" s="12">
        <v>1700</v>
      </c>
      <c r="H189" s="12">
        <f t="shared" si="2"/>
        <v>72500</v>
      </c>
      <c r="I189" s="4">
        <f>SalesDataTable[[#This Row],[Total Sales]]-(SalesDataTable[[#This Row],[Cost of Goods]]*SalesDataTable[[#This Row],[Units Sold]])</f>
        <v>23200</v>
      </c>
    </row>
    <row r="190" spans="1:9" ht="19" customHeight="1">
      <c r="A190" s="9">
        <v>45759</v>
      </c>
      <c r="B190" s="10" t="s">
        <v>13</v>
      </c>
      <c r="C190" s="10" t="s">
        <v>21</v>
      </c>
      <c r="D190" s="10" t="s">
        <v>15</v>
      </c>
      <c r="E190" s="11">
        <v>97</v>
      </c>
      <c r="F190" s="12">
        <v>10500</v>
      </c>
      <c r="G190" s="12">
        <v>6650</v>
      </c>
      <c r="H190" s="12">
        <f t="shared" si="2"/>
        <v>1018500</v>
      </c>
      <c r="I190" s="4">
        <f>SalesDataTable[[#This Row],[Total Sales]]-(SalesDataTable[[#This Row],[Cost of Goods]]*SalesDataTable[[#This Row],[Units Sold]])</f>
        <v>373450</v>
      </c>
    </row>
    <row r="191" spans="1:9" ht="19" customHeight="1">
      <c r="A191" s="9">
        <v>45760</v>
      </c>
      <c r="B191" s="10" t="s">
        <v>20</v>
      </c>
      <c r="C191" s="10" t="s">
        <v>21</v>
      </c>
      <c r="D191" s="10" t="s">
        <v>15</v>
      </c>
      <c r="E191" s="11">
        <v>70</v>
      </c>
      <c r="F191" s="12">
        <v>10000</v>
      </c>
      <c r="G191" s="12">
        <v>7350</v>
      </c>
      <c r="H191" s="12">
        <f t="shared" si="2"/>
        <v>700000</v>
      </c>
      <c r="I191" s="4">
        <f>SalesDataTable[[#This Row],[Total Sales]]-(SalesDataTable[[#This Row],[Cost of Goods]]*SalesDataTable[[#This Row],[Units Sold]])</f>
        <v>185500</v>
      </c>
    </row>
    <row r="192" spans="1:9" ht="19" customHeight="1">
      <c r="A192" s="9">
        <v>45763</v>
      </c>
      <c r="B192" s="10" t="s">
        <v>29</v>
      </c>
      <c r="C192" s="10" t="s">
        <v>16</v>
      </c>
      <c r="D192" s="10" t="s">
        <v>28</v>
      </c>
      <c r="E192" s="11">
        <v>70</v>
      </c>
      <c r="F192" s="12">
        <v>3600</v>
      </c>
      <c r="G192" s="12">
        <v>3000</v>
      </c>
      <c r="H192" s="12">
        <f t="shared" si="2"/>
        <v>252000</v>
      </c>
      <c r="I192" s="4">
        <f>SalesDataTable[[#This Row],[Total Sales]]-(SalesDataTable[[#This Row],[Cost of Goods]]*SalesDataTable[[#This Row],[Units Sold]])</f>
        <v>42000</v>
      </c>
    </row>
    <row r="193" spans="1:9" ht="19" customHeight="1">
      <c r="A193" s="9">
        <v>45771</v>
      </c>
      <c r="B193" s="10" t="s">
        <v>8</v>
      </c>
      <c r="C193" s="10" t="s">
        <v>14</v>
      </c>
      <c r="D193" s="10" t="s">
        <v>30</v>
      </c>
      <c r="E193" s="11">
        <v>121</v>
      </c>
      <c r="F193" s="12">
        <v>4300</v>
      </c>
      <c r="G193" s="12">
        <v>3350</v>
      </c>
      <c r="H193" s="12">
        <f t="shared" si="2"/>
        <v>520300</v>
      </c>
      <c r="I193" s="4">
        <f>SalesDataTable[[#This Row],[Total Sales]]-(SalesDataTable[[#This Row],[Cost of Goods]]*SalesDataTable[[#This Row],[Units Sold]])</f>
        <v>114950</v>
      </c>
    </row>
    <row r="194" spans="1:9" ht="19" customHeight="1">
      <c r="A194" s="9">
        <v>45778</v>
      </c>
      <c r="B194" s="10" t="s">
        <v>35</v>
      </c>
      <c r="C194" s="10" t="s">
        <v>16</v>
      </c>
      <c r="D194" s="10" t="s">
        <v>24</v>
      </c>
      <c r="E194" s="11">
        <v>29</v>
      </c>
      <c r="F194" s="12">
        <v>1100</v>
      </c>
      <c r="G194" s="12">
        <v>800</v>
      </c>
      <c r="H194" s="12">
        <f t="shared" ref="H194:H257" si="3">E194*F194</f>
        <v>31900</v>
      </c>
      <c r="I194" s="4">
        <f>SalesDataTable[[#This Row],[Total Sales]]-(SalesDataTable[[#This Row],[Cost of Goods]]*SalesDataTable[[#This Row],[Units Sold]])</f>
        <v>8700</v>
      </c>
    </row>
    <row r="195" spans="1:9" ht="19" customHeight="1">
      <c r="A195" s="9">
        <v>45779</v>
      </c>
      <c r="B195" s="10" t="s">
        <v>11</v>
      </c>
      <c r="C195" s="10" t="s">
        <v>16</v>
      </c>
      <c r="D195" s="10" t="s">
        <v>30</v>
      </c>
      <c r="E195" s="11">
        <v>36</v>
      </c>
      <c r="F195" s="12">
        <v>4050</v>
      </c>
      <c r="G195" s="12">
        <v>3200</v>
      </c>
      <c r="H195" s="12">
        <f t="shared" si="3"/>
        <v>145800</v>
      </c>
      <c r="I195" s="4">
        <f>SalesDataTable[[#This Row],[Total Sales]]-(SalesDataTable[[#This Row],[Cost of Goods]]*SalesDataTable[[#This Row],[Units Sold]])</f>
        <v>30600</v>
      </c>
    </row>
    <row r="196" spans="1:9" ht="19" customHeight="1">
      <c r="A196" s="9">
        <v>45781</v>
      </c>
      <c r="B196" s="10" t="s">
        <v>25</v>
      </c>
      <c r="C196" s="10" t="s">
        <v>21</v>
      </c>
      <c r="D196" s="10" t="s">
        <v>18</v>
      </c>
      <c r="E196" s="11">
        <v>68</v>
      </c>
      <c r="F196" s="12">
        <v>3000</v>
      </c>
      <c r="G196" s="12">
        <v>2100</v>
      </c>
      <c r="H196" s="12">
        <f t="shared" si="3"/>
        <v>204000</v>
      </c>
      <c r="I196" s="4">
        <f>SalesDataTable[[#This Row],[Total Sales]]-(SalesDataTable[[#This Row],[Cost of Goods]]*SalesDataTable[[#This Row],[Units Sold]])</f>
        <v>61200</v>
      </c>
    </row>
    <row r="197" spans="1:9" ht="19" customHeight="1">
      <c r="A197" s="9">
        <v>45785</v>
      </c>
      <c r="B197" s="10" t="s">
        <v>23</v>
      </c>
      <c r="C197" s="10" t="s">
        <v>12</v>
      </c>
      <c r="D197" s="10" t="s">
        <v>26</v>
      </c>
      <c r="E197" s="11">
        <v>128</v>
      </c>
      <c r="F197" s="12">
        <v>2750</v>
      </c>
      <c r="G197" s="12">
        <v>1500</v>
      </c>
      <c r="H197" s="12">
        <f t="shared" si="3"/>
        <v>352000</v>
      </c>
      <c r="I197" s="4">
        <f>SalesDataTable[[#This Row],[Total Sales]]-(SalesDataTable[[#This Row],[Cost of Goods]]*SalesDataTable[[#This Row],[Units Sold]])</f>
        <v>160000</v>
      </c>
    </row>
    <row r="198" spans="1:9" ht="19" customHeight="1">
      <c r="A198" s="9">
        <v>45786</v>
      </c>
      <c r="B198" s="10" t="s">
        <v>8</v>
      </c>
      <c r="C198" s="10" t="s">
        <v>16</v>
      </c>
      <c r="D198" s="10" t="s">
        <v>26</v>
      </c>
      <c r="E198" s="11">
        <v>65</v>
      </c>
      <c r="F198" s="12">
        <v>2650</v>
      </c>
      <c r="G198" s="12">
        <v>1500</v>
      </c>
      <c r="H198" s="12">
        <f t="shared" si="3"/>
        <v>172250</v>
      </c>
      <c r="I198" s="4">
        <f>SalesDataTable[[#This Row],[Total Sales]]-(SalesDataTable[[#This Row],[Cost of Goods]]*SalesDataTable[[#This Row],[Units Sold]])</f>
        <v>74750</v>
      </c>
    </row>
    <row r="199" spans="1:9" ht="19" customHeight="1">
      <c r="A199" s="9">
        <v>45791</v>
      </c>
      <c r="B199" s="10" t="s">
        <v>25</v>
      </c>
      <c r="C199" s="10" t="s">
        <v>14</v>
      </c>
      <c r="D199" s="10" t="s">
        <v>30</v>
      </c>
      <c r="E199" s="11">
        <v>81</v>
      </c>
      <c r="F199" s="12">
        <v>4500</v>
      </c>
      <c r="G199" s="12">
        <v>3200</v>
      </c>
      <c r="H199" s="12">
        <f t="shared" si="3"/>
        <v>364500</v>
      </c>
      <c r="I199" s="4">
        <f>SalesDataTable[[#This Row],[Total Sales]]-(SalesDataTable[[#This Row],[Cost of Goods]]*SalesDataTable[[#This Row],[Units Sold]])</f>
        <v>105300</v>
      </c>
    </row>
    <row r="200" spans="1:9" ht="19" customHeight="1">
      <c r="A200" s="9">
        <v>45793</v>
      </c>
      <c r="B200" s="10" t="s">
        <v>29</v>
      </c>
      <c r="C200" s="10" t="s">
        <v>16</v>
      </c>
      <c r="D200" s="10" t="s">
        <v>33</v>
      </c>
      <c r="E200" s="11">
        <v>143</v>
      </c>
      <c r="F200" s="12">
        <v>6000</v>
      </c>
      <c r="G200" s="12">
        <v>4000</v>
      </c>
      <c r="H200" s="12">
        <f t="shared" si="3"/>
        <v>858000</v>
      </c>
      <c r="I200" s="4">
        <f>SalesDataTable[[#This Row],[Total Sales]]-(SalesDataTable[[#This Row],[Cost of Goods]]*SalesDataTable[[#This Row],[Units Sold]])</f>
        <v>286000</v>
      </c>
    </row>
    <row r="201" spans="1:9" ht="19" customHeight="1">
      <c r="A201" s="9">
        <v>45795</v>
      </c>
      <c r="B201" s="10" t="s">
        <v>32</v>
      </c>
      <c r="C201" s="10" t="s">
        <v>12</v>
      </c>
      <c r="D201" s="10" t="s">
        <v>30</v>
      </c>
      <c r="E201" s="11">
        <v>24</v>
      </c>
      <c r="F201" s="12">
        <v>4500</v>
      </c>
      <c r="G201" s="12">
        <v>3050</v>
      </c>
      <c r="H201" s="12">
        <f t="shared" si="3"/>
        <v>108000</v>
      </c>
      <c r="I201" s="4">
        <f>SalesDataTable[[#This Row],[Total Sales]]-(SalesDataTable[[#This Row],[Cost of Goods]]*SalesDataTable[[#This Row],[Units Sold]])</f>
        <v>34800</v>
      </c>
    </row>
    <row r="202" spans="1:9" ht="19" customHeight="1">
      <c r="A202" s="9">
        <v>45798</v>
      </c>
      <c r="B202" s="10" t="s">
        <v>17</v>
      </c>
      <c r="C202" s="10" t="s">
        <v>9</v>
      </c>
      <c r="D202" s="10" t="s">
        <v>18</v>
      </c>
      <c r="E202" s="11">
        <v>85</v>
      </c>
      <c r="F202" s="12">
        <v>3000</v>
      </c>
      <c r="G202" s="12">
        <v>2100</v>
      </c>
      <c r="H202" s="12">
        <f t="shared" si="3"/>
        <v>255000</v>
      </c>
      <c r="I202" s="4">
        <f>SalesDataTable[[#This Row],[Total Sales]]-(SalesDataTable[[#This Row],[Cost of Goods]]*SalesDataTable[[#This Row],[Units Sold]])</f>
        <v>76500</v>
      </c>
    </row>
    <row r="203" spans="1:9" ht="19" customHeight="1">
      <c r="A203" s="9">
        <v>45806</v>
      </c>
      <c r="B203" s="10" t="s">
        <v>27</v>
      </c>
      <c r="C203" s="10" t="s">
        <v>21</v>
      </c>
      <c r="D203" s="10" t="s">
        <v>22</v>
      </c>
      <c r="E203" s="11">
        <v>58</v>
      </c>
      <c r="F203" s="12">
        <v>1000</v>
      </c>
      <c r="G203" s="12">
        <v>700</v>
      </c>
      <c r="H203" s="12">
        <f t="shared" si="3"/>
        <v>58000</v>
      </c>
      <c r="I203" s="4">
        <f>SalesDataTable[[#This Row],[Total Sales]]-(SalesDataTable[[#This Row],[Cost of Goods]]*SalesDataTable[[#This Row],[Units Sold]])</f>
        <v>17400</v>
      </c>
    </row>
    <row r="204" spans="1:9" ht="19" customHeight="1">
      <c r="A204" s="9">
        <v>45806</v>
      </c>
      <c r="B204" s="10" t="s">
        <v>11</v>
      </c>
      <c r="C204" s="10" t="s">
        <v>9</v>
      </c>
      <c r="D204" s="10" t="s">
        <v>33</v>
      </c>
      <c r="E204" s="11">
        <v>114</v>
      </c>
      <c r="F204" s="12">
        <v>6300</v>
      </c>
      <c r="G204" s="12">
        <v>4000</v>
      </c>
      <c r="H204" s="12">
        <f t="shared" si="3"/>
        <v>718200</v>
      </c>
      <c r="I204" s="4">
        <f>SalesDataTable[[#This Row],[Total Sales]]-(SalesDataTable[[#This Row],[Cost of Goods]]*SalesDataTable[[#This Row],[Units Sold]])</f>
        <v>262200</v>
      </c>
    </row>
    <row r="205" spans="1:9" ht="19" customHeight="1">
      <c r="A205" s="9">
        <v>45813</v>
      </c>
      <c r="B205" s="10" t="s">
        <v>35</v>
      </c>
      <c r="C205" s="10" t="s">
        <v>9</v>
      </c>
      <c r="D205" s="10" t="s">
        <v>22</v>
      </c>
      <c r="E205" s="11">
        <v>118</v>
      </c>
      <c r="F205" s="12">
        <v>1000</v>
      </c>
      <c r="G205" s="12">
        <v>650</v>
      </c>
      <c r="H205" s="12">
        <f t="shared" si="3"/>
        <v>118000</v>
      </c>
      <c r="I205" s="4">
        <f>SalesDataTable[[#This Row],[Total Sales]]-(SalesDataTable[[#This Row],[Cost of Goods]]*SalesDataTable[[#This Row],[Units Sold]])</f>
        <v>41300</v>
      </c>
    </row>
    <row r="206" spans="1:9" ht="19" customHeight="1">
      <c r="A206" s="9">
        <v>45815</v>
      </c>
      <c r="B206" s="10" t="s">
        <v>25</v>
      </c>
      <c r="C206" s="10" t="s">
        <v>21</v>
      </c>
      <c r="D206" s="10" t="s">
        <v>26</v>
      </c>
      <c r="E206" s="11">
        <v>30</v>
      </c>
      <c r="F206" s="12">
        <v>2250</v>
      </c>
      <c r="G206" s="12">
        <v>1500</v>
      </c>
      <c r="H206" s="12">
        <f t="shared" si="3"/>
        <v>67500</v>
      </c>
      <c r="I206" s="4">
        <f>SalesDataTable[[#This Row],[Total Sales]]-(SalesDataTable[[#This Row],[Cost of Goods]]*SalesDataTable[[#This Row],[Units Sold]])</f>
        <v>22500</v>
      </c>
    </row>
    <row r="207" spans="1:9" ht="19" customHeight="1">
      <c r="A207" s="9">
        <v>45817</v>
      </c>
      <c r="B207" s="10" t="s">
        <v>35</v>
      </c>
      <c r="C207" s="10" t="s">
        <v>14</v>
      </c>
      <c r="D207" s="10" t="s">
        <v>15</v>
      </c>
      <c r="E207" s="11">
        <v>41</v>
      </c>
      <c r="F207" s="12">
        <v>9000</v>
      </c>
      <c r="G207" s="12">
        <v>7000</v>
      </c>
      <c r="H207" s="12">
        <f t="shared" si="3"/>
        <v>369000</v>
      </c>
      <c r="I207" s="4">
        <f>SalesDataTable[[#This Row],[Total Sales]]-(SalesDataTable[[#This Row],[Cost of Goods]]*SalesDataTable[[#This Row],[Units Sold]])</f>
        <v>82000</v>
      </c>
    </row>
    <row r="208" spans="1:9" ht="19" customHeight="1">
      <c r="A208" s="9">
        <v>45818</v>
      </c>
      <c r="B208" s="10" t="s">
        <v>20</v>
      </c>
      <c r="C208" s="10" t="s">
        <v>16</v>
      </c>
      <c r="D208" s="10" t="s">
        <v>26</v>
      </c>
      <c r="E208" s="11">
        <v>20</v>
      </c>
      <c r="F208" s="12">
        <v>2400</v>
      </c>
      <c r="G208" s="12">
        <v>1500</v>
      </c>
      <c r="H208" s="12">
        <f t="shared" si="3"/>
        <v>48000</v>
      </c>
      <c r="I208" s="4">
        <f>SalesDataTable[[#This Row],[Total Sales]]-(SalesDataTable[[#This Row],[Cost of Goods]]*SalesDataTable[[#This Row],[Units Sold]])</f>
        <v>18000</v>
      </c>
    </row>
    <row r="209" spans="1:9" ht="19" customHeight="1">
      <c r="A209" s="9">
        <v>45820</v>
      </c>
      <c r="B209" s="10" t="s">
        <v>23</v>
      </c>
      <c r="C209" s="10" t="s">
        <v>21</v>
      </c>
      <c r="D209" s="10" t="s">
        <v>10</v>
      </c>
      <c r="E209" s="11">
        <v>128</v>
      </c>
      <c r="F209" s="12">
        <v>3150</v>
      </c>
      <c r="G209" s="12">
        <v>2500</v>
      </c>
      <c r="H209" s="12">
        <f t="shared" si="3"/>
        <v>403200</v>
      </c>
      <c r="I209" s="4">
        <f>SalesDataTable[[#This Row],[Total Sales]]-(SalesDataTable[[#This Row],[Cost of Goods]]*SalesDataTable[[#This Row],[Units Sold]])</f>
        <v>83200</v>
      </c>
    </row>
    <row r="210" spans="1:9" ht="19" customHeight="1">
      <c r="A210" s="9">
        <v>45820</v>
      </c>
      <c r="B210" s="10" t="s">
        <v>23</v>
      </c>
      <c r="C210" s="10" t="s">
        <v>21</v>
      </c>
      <c r="D210" s="10" t="s">
        <v>22</v>
      </c>
      <c r="E210" s="11">
        <v>123</v>
      </c>
      <c r="F210" s="12">
        <v>1100</v>
      </c>
      <c r="G210" s="12">
        <v>700</v>
      </c>
      <c r="H210" s="12">
        <f t="shared" si="3"/>
        <v>135300</v>
      </c>
      <c r="I210" s="4">
        <f>SalesDataTable[[#This Row],[Total Sales]]-(SalesDataTable[[#This Row],[Cost of Goods]]*SalesDataTable[[#This Row],[Units Sold]])</f>
        <v>49200</v>
      </c>
    </row>
    <row r="211" spans="1:9" ht="19" customHeight="1">
      <c r="A211" s="9">
        <v>45824</v>
      </c>
      <c r="B211" s="10" t="s">
        <v>20</v>
      </c>
      <c r="C211" s="10" t="s">
        <v>14</v>
      </c>
      <c r="D211" s="10" t="s">
        <v>22</v>
      </c>
      <c r="E211" s="11">
        <v>138</v>
      </c>
      <c r="F211" s="12">
        <v>1000</v>
      </c>
      <c r="G211" s="12">
        <v>700</v>
      </c>
      <c r="H211" s="12">
        <f t="shared" si="3"/>
        <v>138000</v>
      </c>
      <c r="I211" s="4">
        <f>SalesDataTable[[#This Row],[Total Sales]]-(SalesDataTable[[#This Row],[Cost of Goods]]*SalesDataTable[[#This Row],[Units Sold]])</f>
        <v>41400</v>
      </c>
    </row>
    <row r="212" spans="1:9" ht="19" customHeight="1">
      <c r="A212" s="9">
        <v>45825</v>
      </c>
      <c r="B212" s="10" t="s">
        <v>23</v>
      </c>
      <c r="C212" s="10" t="s">
        <v>14</v>
      </c>
      <c r="D212" s="10" t="s">
        <v>33</v>
      </c>
      <c r="E212" s="11">
        <v>25</v>
      </c>
      <c r="F212" s="12">
        <v>6000</v>
      </c>
      <c r="G212" s="12">
        <v>3800</v>
      </c>
      <c r="H212" s="12">
        <f t="shared" si="3"/>
        <v>150000</v>
      </c>
      <c r="I212" s="4">
        <f>SalesDataTable[[#This Row],[Total Sales]]-(SalesDataTable[[#This Row],[Cost of Goods]]*SalesDataTable[[#This Row],[Units Sold]])</f>
        <v>55000</v>
      </c>
    </row>
    <row r="213" spans="1:9" ht="19" customHeight="1">
      <c r="A213" s="9">
        <v>45826</v>
      </c>
      <c r="B213" s="10" t="s">
        <v>34</v>
      </c>
      <c r="C213" s="10" t="s">
        <v>14</v>
      </c>
      <c r="D213" s="10" t="s">
        <v>28</v>
      </c>
      <c r="E213" s="11">
        <v>35</v>
      </c>
      <c r="F213" s="12">
        <v>3600</v>
      </c>
      <c r="G213" s="12">
        <v>3000</v>
      </c>
      <c r="H213" s="12">
        <f t="shared" si="3"/>
        <v>126000</v>
      </c>
      <c r="I213" s="4">
        <f>SalesDataTable[[#This Row],[Total Sales]]-(SalesDataTable[[#This Row],[Cost of Goods]]*SalesDataTable[[#This Row],[Units Sold]])</f>
        <v>21000</v>
      </c>
    </row>
    <row r="214" spans="1:9" ht="19" customHeight="1">
      <c r="A214" s="9">
        <v>45828</v>
      </c>
      <c r="B214" s="10" t="s">
        <v>29</v>
      </c>
      <c r="C214" s="10" t="s">
        <v>21</v>
      </c>
      <c r="D214" s="10" t="s">
        <v>18</v>
      </c>
      <c r="E214" s="11">
        <v>64</v>
      </c>
      <c r="F214" s="12">
        <v>3150</v>
      </c>
      <c r="G214" s="12">
        <v>2200</v>
      </c>
      <c r="H214" s="12">
        <f t="shared" si="3"/>
        <v>201600</v>
      </c>
      <c r="I214" s="4">
        <f>SalesDataTable[[#This Row],[Total Sales]]-(SalesDataTable[[#This Row],[Cost of Goods]]*SalesDataTable[[#This Row],[Units Sold]])</f>
        <v>60800</v>
      </c>
    </row>
    <row r="215" spans="1:9" ht="19" customHeight="1">
      <c r="A215" s="9">
        <v>45830</v>
      </c>
      <c r="B215" s="10" t="s">
        <v>23</v>
      </c>
      <c r="C215" s="10" t="s">
        <v>12</v>
      </c>
      <c r="D215" s="10" t="s">
        <v>26</v>
      </c>
      <c r="E215" s="11">
        <v>56</v>
      </c>
      <c r="F215" s="12">
        <v>2400</v>
      </c>
      <c r="G215" s="12">
        <v>1600</v>
      </c>
      <c r="H215" s="12">
        <f t="shared" si="3"/>
        <v>134400</v>
      </c>
      <c r="I215" s="4">
        <f>SalesDataTable[[#This Row],[Total Sales]]-(SalesDataTable[[#This Row],[Cost of Goods]]*SalesDataTable[[#This Row],[Units Sold]])</f>
        <v>44800</v>
      </c>
    </row>
    <row r="216" spans="1:9" ht="19" customHeight="1">
      <c r="A216" s="9">
        <v>45830</v>
      </c>
      <c r="B216" s="10" t="s">
        <v>34</v>
      </c>
      <c r="C216" s="10" t="s">
        <v>12</v>
      </c>
      <c r="D216" s="10" t="s">
        <v>24</v>
      </c>
      <c r="E216" s="11">
        <v>143</v>
      </c>
      <c r="F216" s="12">
        <v>1200</v>
      </c>
      <c r="G216" s="12">
        <v>800</v>
      </c>
      <c r="H216" s="12">
        <f t="shared" si="3"/>
        <v>171600</v>
      </c>
      <c r="I216" s="4">
        <f>SalesDataTable[[#This Row],[Total Sales]]-(SalesDataTable[[#This Row],[Cost of Goods]]*SalesDataTable[[#This Row],[Units Sold]])</f>
        <v>57200</v>
      </c>
    </row>
    <row r="217" spans="1:9" ht="19" customHeight="1">
      <c r="A217" s="9">
        <v>45832</v>
      </c>
      <c r="B217" s="10" t="s">
        <v>11</v>
      </c>
      <c r="C217" s="10" t="s">
        <v>12</v>
      </c>
      <c r="D217" s="10" t="s">
        <v>28</v>
      </c>
      <c r="E217" s="11">
        <v>20</v>
      </c>
      <c r="F217" s="12">
        <v>4000</v>
      </c>
      <c r="G217" s="12">
        <v>3150</v>
      </c>
      <c r="H217" s="12">
        <f t="shared" si="3"/>
        <v>80000</v>
      </c>
      <c r="I217" s="4">
        <f>SalesDataTable[[#This Row],[Total Sales]]-(SalesDataTable[[#This Row],[Cost of Goods]]*SalesDataTable[[#This Row],[Units Sold]])</f>
        <v>17000</v>
      </c>
    </row>
    <row r="218" spans="1:9" ht="19" customHeight="1">
      <c r="A218" s="9">
        <v>45834</v>
      </c>
      <c r="B218" s="10" t="s">
        <v>17</v>
      </c>
      <c r="C218" s="10" t="s">
        <v>9</v>
      </c>
      <c r="D218" s="10" t="s">
        <v>31</v>
      </c>
      <c r="E218" s="11">
        <v>45</v>
      </c>
      <c r="F218" s="12">
        <v>550</v>
      </c>
      <c r="G218" s="12">
        <v>400</v>
      </c>
      <c r="H218" s="12">
        <f t="shared" si="3"/>
        <v>24750</v>
      </c>
      <c r="I218" s="4">
        <f>SalesDataTable[[#This Row],[Total Sales]]-(SalesDataTable[[#This Row],[Cost of Goods]]*SalesDataTable[[#This Row],[Units Sold]])</f>
        <v>6750</v>
      </c>
    </row>
    <row r="219" spans="1:9" ht="19" customHeight="1">
      <c r="A219" s="9">
        <v>45835</v>
      </c>
      <c r="B219" s="10" t="s">
        <v>27</v>
      </c>
      <c r="C219" s="10" t="s">
        <v>21</v>
      </c>
      <c r="D219" s="10" t="s">
        <v>31</v>
      </c>
      <c r="E219" s="11">
        <v>20</v>
      </c>
      <c r="F219" s="12">
        <v>650</v>
      </c>
      <c r="G219" s="12">
        <v>400</v>
      </c>
      <c r="H219" s="12">
        <f t="shared" si="3"/>
        <v>13000</v>
      </c>
      <c r="I219" s="4">
        <f>SalesDataTable[[#This Row],[Total Sales]]-(SalesDataTable[[#This Row],[Cost of Goods]]*SalesDataTable[[#This Row],[Units Sold]])</f>
        <v>5000</v>
      </c>
    </row>
    <row r="220" spans="1:9" ht="19" customHeight="1">
      <c r="A220" s="9">
        <v>45838</v>
      </c>
      <c r="B220" s="10" t="s">
        <v>20</v>
      </c>
      <c r="C220" s="10" t="s">
        <v>12</v>
      </c>
      <c r="D220" s="10" t="s">
        <v>24</v>
      </c>
      <c r="E220" s="11">
        <v>42</v>
      </c>
      <c r="F220" s="12">
        <v>1150</v>
      </c>
      <c r="G220" s="12">
        <v>800</v>
      </c>
      <c r="H220" s="12">
        <f t="shared" si="3"/>
        <v>48300</v>
      </c>
      <c r="I220" s="4">
        <f>SalesDataTable[[#This Row],[Total Sales]]-(SalesDataTable[[#This Row],[Cost of Goods]]*SalesDataTable[[#This Row],[Units Sold]])</f>
        <v>14700</v>
      </c>
    </row>
    <row r="221" spans="1:9" ht="19" customHeight="1">
      <c r="A221" s="9">
        <v>45839</v>
      </c>
      <c r="B221" s="10" t="s">
        <v>32</v>
      </c>
      <c r="C221" s="10" t="s">
        <v>9</v>
      </c>
      <c r="D221" s="10" t="s">
        <v>24</v>
      </c>
      <c r="E221" s="11">
        <v>106</v>
      </c>
      <c r="F221" s="12">
        <v>1200</v>
      </c>
      <c r="G221" s="12">
        <v>800</v>
      </c>
      <c r="H221" s="12">
        <f t="shared" si="3"/>
        <v>127200</v>
      </c>
      <c r="I221" s="4">
        <f>SalesDataTable[[#This Row],[Total Sales]]-(SalesDataTable[[#This Row],[Cost of Goods]]*SalesDataTable[[#This Row],[Units Sold]])</f>
        <v>42400</v>
      </c>
    </row>
    <row r="222" spans="1:9" ht="19" customHeight="1">
      <c r="A222" s="9">
        <v>45845</v>
      </c>
      <c r="B222" s="10" t="s">
        <v>17</v>
      </c>
      <c r="C222" s="10" t="s">
        <v>12</v>
      </c>
      <c r="D222" s="10" t="s">
        <v>26</v>
      </c>
      <c r="E222" s="11">
        <v>86</v>
      </c>
      <c r="F222" s="12">
        <v>2650</v>
      </c>
      <c r="G222" s="12">
        <v>1600</v>
      </c>
      <c r="H222" s="12">
        <f t="shared" si="3"/>
        <v>227900</v>
      </c>
      <c r="I222" s="4">
        <f>SalesDataTable[[#This Row],[Total Sales]]-(SalesDataTable[[#This Row],[Cost of Goods]]*SalesDataTable[[#This Row],[Units Sold]])</f>
        <v>90300</v>
      </c>
    </row>
    <row r="223" spans="1:9" ht="19" customHeight="1">
      <c r="A223" s="9">
        <v>45845</v>
      </c>
      <c r="B223" s="10" t="s">
        <v>36</v>
      </c>
      <c r="C223" s="10" t="s">
        <v>14</v>
      </c>
      <c r="D223" s="10" t="s">
        <v>15</v>
      </c>
      <c r="E223" s="11">
        <v>71</v>
      </c>
      <c r="F223" s="12">
        <v>10500</v>
      </c>
      <c r="G223" s="12">
        <v>7000</v>
      </c>
      <c r="H223" s="12">
        <f t="shared" si="3"/>
        <v>745500</v>
      </c>
      <c r="I223" s="4">
        <f>SalesDataTable[[#This Row],[Total Sales]]-(SalesDataTable[[#This Row],[Cost of Goods]]*SalesDataTable[[#This Row],[Units Sold]])</f>
        <v>248500</v>
      </c>
    </row>
    <row r="224" spans="1:9" ht="19" customHeight="1">
      <c r="A224" s="9">
        <v>45851</v>
      </c>
      <c r="B224" s="10" t="s">
        <v>35</v>
      </c>
      <c r="C224" s="10" t="s">
        <v>14</v>
      </c>
      <c r="D224" s="10" t="s">
        <v>15</v>
      </c>
      <c r="E224" s="11">
        <v>99</v>
      </c>
      <c r="F224" s="12">
        <v>10000</v>
      </c>
      <c r="G224" s="12">
        <v>6650</v>
      </c>
      <c r="H224" s="12">
        <f t="shared" si="3"/>
        <v>990000</v>
      </c>
      <c r="I224" s="4">
        <f>SalesDataTable[[#This Row],[Total Sales]]-(SalesDataTable[[#This Row],[Cost of Goods]]*SalesDataTable[[#This Row],[Units Sold]])</f>
        <v>331650</v>
      </c>
    </row>
    <row r="225" spans="1:9" ht="19" customHeight="1">
      <c r="A225" s="9">
        <v>45852</v>
      </c>
      <c r="B225" s="10" t="s">
        <v>20</v>
      </c>
      <c r="C225" s="10" t="s">
        <v>21</v>
      </c>
      <c r="D225" s="10" t="s">
        <v>18</v>
      </c>
      <c r="E225" s="11">
        <v>47</v>
      </c>
      <c r="F225" s="12">
        <v>3000</v>
      </c>
      <c r="G225" s="12">
        <v>2100</v>
      </c>
      <c r="H225" s="12">
        <f t="shared" si="3"/>
        <v>141000</v>
      </c>
      <c r="I225" s="4">
        <f>SalesDataTable[[#This Row],[Total Sales]]-(SalesDataTable[[#This Row],[Cost of Goods]]*SalesDataTable[[#This Row],[Units Sold]])</f>
        <v>42300</v>
      </c>
    </row>
    <row r="226" spans="1:9" ht="19" customHeight="1">
      <c r="A226" s="9">
        <v>45858</v>
      </c>
      <c r="B226" s="10" t="s">
        <v>17</v>
      </c>
      <c r="C226" s="10" t="s">
        <v>14</v>
      </c>
      <c r="D226" s="10" t="s">
        <v>24</v>
      </c>
      <c r="E226" s="11">
        <v>143</v>
      </c>
      <c r="F226" s="12">
        <v>1150</v>
      </c>
      <c r="G226" s="12">
        <v>750</v>
      </c>
      <c r="H226" s="12">
        <f t="shared" si="3"/>
        <v>164450</v>
      </c>
      <c r="I226" s="4">
        <f>SalesDataTable[[#This Row],[Total Sales]]-(SalesDataTable[[#This Row],[Cost of Goods]]*SalesDataTable[[#This Row],[Units Sold]])</f>
        <v>57200</v>
      </c>
    </row>
    <row r="227" spans="1:9" ht="19" customHeight="1">
      <c r="A227" s="9">
        <v>45862</v>
      </c>
      <c r="B227" s="10" t="s">
        <v>37</v>
      </c>
      <c r="C227" s="10" t="s">
        <v>9</v>
      </c>
      <c r="D227" s="10" t="s">
        <v>18</v>
      </c>
      <c r="E227" s="11">
        <v>90</v>
      </c>
      <c r="F227" s="12">
        <v>2850</v>
      </c>
      <c r="G227" s="12">
        <v>2200</v>
      </c>
      <c r="H227" s="12">
        <f t="shared" si="3"/>
        <v>256500</v>
      </c>
      <c r="I227" s="4">
        <f>SalesDataTable[[#This Row],[Total Sales]]-(SalesDataTable[[#This Row],[Cost of Goods]]*SalesDataTable[[#This Row],[Units Sold]])</f>
        <v>58500</v>
      </c>
    </row>
    <row r="228" spans="1:9" ht="19" customHeight="1">
      <c r="A228" s="9">
        <v>45862</v>
      </c>
      <c r="B228" s="10" t="s">
        <v>20</v>
      </c>
      <c r="C228" s="10" t="s">
        <v>14</v>
      </c>
      <c r="D228" s="10" t="s">
        <v>30</v>
      </c>
      <c r="E228" s="11">
        <v>49</v>
      </c>
      <c r="F228" s="12">
        <v>4950</v>
      </c>
      <c r="G228" s="12">
        <v>3200</v>
      </c>
      <c r="H228" s="12">
        <f t="shared" si="3"/>
        <v>242550</v>
      </c>
      <c r="I228" s="4">
        <f>SalesDataTable[[#This Row],[Total Sales]]-(SalesDataTable[[#This Row],[Cost of Goods]]*SalesDataTable[[#This Row],[Units Sold]])</f>
        <v>85750</v>
      </c>
    </row>
    <row r="229" spans="1:9" ht="19" customHeight="1">
      <c r="A229" s="9">
        <v>45862</v>
      </c>
      <c r="B229" s="10" t="s">
        <v>8</v>
      </c>
      <c r="C229" s="10" t="s">
        <v>12</v>
      </c>
      <c r="D229" s="10" t="s">
        <v>24</v>
      </c>
      <c r="E229" s="11">
        <v>113</v>
      </c>
      <c r="F229" s="12">
        <v>1200</v>
      </c>
      <c r="G229" s="12">
        <v>800</v>
      </c>
      <c r="H229" s="12">
        <f t="shared" si="3"/>
        <v>135600</v>
      </c>
      <c r="I229" s="4">
        <f>SalesDataTable[[#This Row],[Total Sales]]-(SalesDataTable[[#This Row],[Cost of Goods]]*SalesDataTable[[#This Row],[Units Sold]])</f>
        <v>45200</v>
      </c>
    </row>
    <row r="230" spans="1:9" ht="19" customHeight="1">
      <c r="A230" s="9">
        <v>45868</v>
      </c>
      <c r="B230" s="10" t="s">
        <v>36</v>
      </c>
      <c r="C230" s="10" t="s">
        <v>9</v>
      </c>
      <c r="D230" s="10" t="s">
        <v>30</v>
      </c>
      <c r="E230" s="11">
        <v>147</v>
      </c>
      <c r="F230" s="12">
        <v>4050</v>
      </c>
      <c r="G230" s="12">
        <v>3200</v>
      </c>
      <c r="H230" s="12">
        <f t="shared" si="3"/>
        <v>595350</v>
      </c>
      <c r="I230" s="4">
        <f>SalesDataTable[[#This Row],[Total Sales]]-(SalesDataTable[[#This Row],[Cost of Goods]]*SalesDataTable[[#This Row],[Units Sold]])</f>
        <v>124950</v>
      </c>
    </row>
    <row r="231" spans="1:9" ht="19" customHeight="1">
      <c r="A231" s="9">
        <v>45868</v>
      </c>
      <c r="B231" s="10" t="s">
        <v>11</v>
      </c>
      <c r="C231" s="10" t="s">
        <v>14</v>
      </c>
      <c r="D231" s="10" t="s">
        <v>26</v>
      </c>
      <c r="E231" s="11">
        <v>133</v>
      </c>
      <c r="F231" s="12">
        <v>2500</v>
      </c>
      <c r="G231" s="12">
        <v>1600</v>
      </c>
      <c r="H231" s="12">
        <f t="shared" si="3"/>
        <v>332500</v>
      </c>
      <c r="I231" s="4">
        <f>SalesDataTable[[#This Row],[Total Sales]]-(SalesDataTable[[#This Row],[Cost of Goods]]*SalesDataTable[[#This Row],[Units Sold]])</f>
        <v>119700</v>
      </c>
    </row>
    <row r="232" spans="1:9" ht="19" customHeight="1">
      <c r="A232" s="9">
        <v>45869</v>
      </c>
      <c r="B232" s="10" t="s">
        <v>20</v>
      </c>
      <c r="C232" s="10" t="s">
        <v>9</v>
      </c>
      <c r="D232" s="10" t="s">
        <v>24</v>
      </c>
      <c r="E232" s="11">
        <v>30</v>
      </c>
      <c r="F232" s="12">
        <v>1200</v>
      </c>
      <c r="G232" s="12">
        <v>800</v>
      </c>
      <c r="H232" s="12">
        <f t="shared" si="3"/>
        <v>36000</v>
      </c>
      <c r="I232" s="4">
        <f>SalesDataTable[[#This Row],[Total Sales]]-(SalesDataTable[[#This Row],[Cost of Goods]]*SalesDataTable[[#This Row],[Units Sold]])</f>
        <v>12000</v>
      </c>
    </row>
    <row r="233" spans="1:9" ht="19" customHeight="1">
      <c r="A233" s="9">
        <v>45873</v>
      </c>
      <c r="B233" s="10" t="s">
        <v>8</v>
      </c>
      <c r="C233" s="10" t="s">
        <v>12</v>
      </c>
      <c r="D233" s="10" t="s">
        <v>15</v>
      </c>
      <c r="E233" s="11">
        <v>64</v>
      </c>
      <c r="F233" s="12">
        <v>11000</v>
      </c>
      <c r="G233" s="12">
        <v>7350</v>
      </c>
      <c r="H233" s="12">
        <f t="shared" si="3"/>
        <v>704000</v>
      </c>
      <c r="I233" s="4">
        <f>SalesDataTable[[#This Row],[Total Sales]]-(SalesDataTable[[#This Row],[Cost of Goods]]*SalesDataTable[[#This Row],[Units Sold]])</f>
        <v>233600</v>
      </c>
    </row>
    <row r="234" spans="1:9" ht="19" customHeight="1">
      <c r="A234" s="9">
        <v>45873</v>
      </c>
      <c r="B234" s="10" t="s">
        <v>17</v>
      </c>
      <c r="C234" s="10" t="s">
        <v>16</v>
      </c>
      <c r="D234" s="10" t="s">
        <v>28</v>
      </c>
      <c r="E234" s="11">
        <v>79</v>
      </c>
      <c r="F234" s="12">
        <v>4200</v>
      </c>
      <c r="G234" s="12">
        <v>3000</v>
      </c>
      <c r="H234" s="12">
        <f t="shared" si="3"/>
        <v>331800</v>
      </c>
      <c r="I234" s="4">
        <f>SalesDataTable[[#This Row],[Total Sales]]-(SalesDataTable[[#This Row],[Cost of Goods]]*SalesDataTable[[#This Row],[Units Sold]])</f>
        <v>94800</v>
      </c>
    </row>
    <row r="235" spans="1:9" ht="19" customHeight="1">
      <c r="A235" s="9">
        <v>45876</v>
      </c>
      <c r="B235" s="10" t="s">
        <v>17</v>
      </c>
      <c r="C235" s="10" t="s">
        <v>14</v>
      </c>
      <c r="D235" s="10" t="s">
        <v>30</v>
      </c>
      <c r="E235" s="11">
        <v>58</v>
      </c>
      <c r="F235" s="12">
        <v>4050</v>
      </c>
      <c r="G235" s="12">
        <v>3200</v>
      </c>
      <c r="H235" s="12">
        <f t="shared" si="3"/>
        <v>234900</v>
      </c>
      <c r="I235" s="4">
        <f>SalesDataTable[[#This Row],[Total Sales]]-(SalesDataTable[[#This Row],[Cost of Goods]]*SalesDataTable[[#This Row],[Units Sold]])</f>
        <v>49300</v>
      </c>
    </row>
    <row r="236" spans="1:9" ht="19" customHeight="1">
      <c r="A236" s="9">
        <v>45876</v>
      </c>
      <c r="B236" s="10" t="s">
        <v>8</v>
      </c>
      <c r="C236" s="10" t="s">
        <v>16</v>
      </c>
      <c r="D236" s="10" t="s">
        <v>15</v>
      </c>
      <c r="E236" s="11">
        <v>90</v>
      </c>
      <c r="F236" s="12">
        <v>10000</v>
      </c>
      <c r="G236" s="12">
        <v>7000</v>
      </c>
      <c r="H236" s="12">
        <f t="shared" si="3"/>
        <v>900000</v>
      </c>
      <c r="I236" s="4">
        <f>SalesDataTable[[#This Row],[Total Sales]]-(SalesDataTable[[#This Row],[Cost of Goods]]*SalesDataTable[[#This Row],[Units Sold]])</f>
        <v>270000</v>
      </c>
    </row>
    <row r="237" spans="1:9" ht="19" customHeight="1">
      <c r="A237" s="9">
        <v>45877</v>
      </c>
      <c r="B237" s="10" t="s">
        <v>34</v>
      </c>
      <c r="C237" s="10" t="s">
        <v>21</v>
      </c>
      <c r="D237" s="10" t="s">
        <v>18</v>
      </c>
      <c r="E237" s="11">
        <v>146</v>
      </c>
      <c r="F237" s="12">
        <v>3300</v>
      </c>
      <c r="G237" s="12">
        <v>2100</v>
      </c>
      <c r="H237" s="12">
        <f t="shared" si="3"/>
        <v>481800</v>
      </c>
      <c r="I237" s="4">
        <f>SalesDataTable[[#This Row],[Total Sales]]-(SalesDataTable[[#This Row],[Cost of Goods]]*SalesDataTable[[#This Row],[Units Sold]])</f>
        <v>175200</v>
      </c>
    </row>
    <row r="238" spans="1:9" ht="19" customHeight="1">
      <c r="A238" s="9">
        <v>45877</v>
      </c>
      <c r="B238" s="10" t="s">
        <v>36</v>
      </c>
      <c r="C238" s="10" t="s">
        <v>12</v>
      </c>
      <c r="D238" s="10" t="s">
        <v>10</v>
      </c>
      <c r="E238" s="11">
        <v>109</v>
      </c>
      <c r="F238" s="12">
        <v>3700</v>
      </c>
      <c r="G238" s="12">
        <v>2500</v>
      </c>
      <c r="H238" s="12">
        <f t="shared" si="3"/>
        <v>403300</v>
      </c>
      <c r="I238" s="4">
        <f>SalesDataTable[[#This Row],[Total Sales]]-(SalesDataTable[[#This Row],[Cost of Goods]]*SalesDataTable[[#This Row],[Units Sold]])</f>
        <v>130800</v>
      </c>
    </row>
    <row r="239" spans="1:9" ht="19" customHeight="1">
      <c r="A239" s="9">
        <v>45879</v>
      </c>
      <c r="B239" s="10" t="s">
        <v>11</v>
      </c>
      <c r="C239" s="10" t="s">
        <v>12</v>
      </c>
      <c r="D239" s="10" t="s">
        <v>24</v>
      </c>
      <c r="E239" s="11">
        <v>52</v>
      </c>
      <c r="F239" s="12">
        <v>1200</v>
      </c>
      <c r="G239" s="12">
        <v>750</v>
      </c>
      <c r="H239" s="12">
        <f t="shared" si="3"/>
        <v>62400</v>
      </c>
      <c r="I239" s="4">
        <f>SalesDataTable[[#This Row],[Total Sales]]-(SalesDataTable[[#This Row],[Cost of Goods]]*SalesDataTable[[#This Row],[Units Sold]])</f>
        <v>23400</v>
      </c>
    </row>
    <row r="240" spans="1:9" ht="19" customHeight="1">
      <c r="A240" s="9">
        <v>45881</v>
      </c>
      <c r="B240" s="10" t="s">
        <v>25</v>
      </c>
      <c r="C240" s="10" t="s">
        <v>14</v>
      </c>
      <c r="D240" s="10" t="s">
        <v>24</v>
      </c>
      <c r="E240" s="11">
        <v>122</v>
      </c>
      <c r="F240" s="12">
        <v>1200</v>
      </c>
      <c r="G240" s="12">
        <v>800</v>
      </c>
      <c r="H240" s="12">
        <f t="shared" si="3"/>
        <v>146400</v>
      </c>
      <c r="I240" s="4">
        <f>SalesDataTable[[#This Row],[Total Sales]]-(SalesDataTable[[#This Row],[Cost of Goods]]*SalesDataTable[[#This Row],[Units Sold]])</f>
        <v>48800</v>
      </c>
    </row>
    <row r="241" spans="1:9" ht="19" customHeight="1">
      <c r="A241" s="9">
        <v>45881</v>
      </c>
      <c r="B241" s="10" t="s">
        <v>36</v>
      </c>
      <c r="C241" s="10" t="s">
        <v>16</v>
      </c>
      <c r="D241" s="10" t="s">
        <v>26</v>
      </c>
      <c r="E241" s="11">
        <v>24</v>
      </c>
      <c r="F241" s="12">
        <v>2750</v>
      </c>
      <c r="G241" s="12">
        <v>1700</v>
      </c>
      <c r="H241" s="12">
        <f t="shared" si="3"/>
        <v>66000</v>
      </c>
      <c r="I241" s="4">
        <f>SalesDataTable[[#This Row],[Total Sales]]-(SalesDataTable[[#This Row],[Cost of Goods]]*SalesDataTable[[#This Row],[Units Sold]])</f>
        <v>25200</v>
      </c>
    </row>
    <row r="242" spans="1:9" ht="19" customHeight="1">
      <c r="A242" s="9">
        <v>45885</v>
      </c>
      <c r="B242" s="10" t="s">
        <v>27</v>
      </c>
      <c r="C242" s="10" t="s">
        <v>14</v>
      </c>
      <c r="D242" s="10" t="s">
        <v>15</v>
      </c>
      <c r="E242" s="11">
        <v>71</v>
      </c>
      <c r="F242" s="12">
        <v>9000</v>
      </c>
      <c r="G242" s="12">
        <v>6650</v>
      </c>
      <c r="H242" s="12">
        <f t="shared" si="3"/>
        <v>639000</v>
      </c>
      <c r="I242" s="4">
        <f>SalesDataTable[[#This Row],[Total Sales]]-(SalesDataTable[[#This Row],[Cost of Goods]]*SalesDataTable[[#This Row],[Units Sold]])</f>
        <v>166850</v>
      </c>
    </row>
    <row r="243" spans="1:9" ht="19" customHeight="1">
      <c r="A243" s="9">
        <v>45894</v>
      </c>
      <c r="B243" s="10" t="s">
        <v>20</v>
      </c>
      <c r="C243" s="10" t="s">
        <v>14</v>
      </c>
      <c r="D243" s="10" t="s">
        <v>33</v>
      </c>
      <c r="E243" s="11">
        <v>24</v>
      </c>
      <c r="F243" s="12">
        <v>6000</v>
      </c>
      <c r="G243" s="12">
        <v>4000</v>
      </c>
      <c r="H243" s="12">
        <f t="shared" si="3"/>
        <v>144000</v>
      </c>
      <c r="I243" s="4">
        <f>SalesDataTable[[#This Row],[Total Sales]]-(SalesDataTable[[#This Row],[Cost of Goods]]*SalesDataTable[[#This Row],[Units Sold]])</f>
        <v>48000</v>
      </c>
    </row>
    <row r="244" spans="1:9" ht="19" customHeight="1">
      <c r="A244" s="9">
        <v>45894</v>
      </c>
      <c r="B244" s="10" t="s">
        <v>11</v>
      </c>
      <c r="C244" s="10" t="s">
        <v>21</v>
      </c>
      <c r="D244" s="10" t="s">
        <v>10</v>
      </c>
      <c r="E244" s="11">
        <v>142</v>
      </c>
      <c r="F244" s="12">
        <v>3350</v>
      </c>
      <c r="G244" s="12">
        <v>2500</v>
      </c>
      <c r="H244" s="12">
        <f t="shared" si="3"/>
        <v>475700</v>
      </c>
      <c r="I244" s="4">
        <f>SalesDataTable[[#This Row],[Total Sales]]-(SalesDataTable[[#This Row],[Cost of Goods]]*SalesDataTable[[#This Row],[Units Sold]])</f>
        <v>120700</v>
      </c>
    </row>
    <row r="245" spans="1:9" ht="19" customHeight="1">
      <c r="A245" s="9">
        <v>45896</v>
      </c>
      <c r="B245" s="10" t="s">
        <v>32</v>
      </c>
      <c r="C245" s="10" t="s">
        <v>9</v>
      </c>
      <c r="D245" s="10" t="s">
        <v>30</v>
      </c>
      <c r="E245" s="11">
        <v>107</v>
      </c>
      <c r="F245" s="12">
        <v>4500</v>
      </c>
      <c r="G245" s="12">
        <v>3200</v>
      </c>
      <c r="H245" s="12">
        <f t="shared" si="3"/>
        <v>481500</v>
      </c>
      <c r="I245" s="4">
        <f>SalesDataTable[[#This Row],[Total Sales]]-(SalesDataTable[[#This Row],[Cost of Goods]]*SalesDataTable[[#This Row],[Units Sold]])</f>
        <v>139100</v>
      </c>
    </row>
    <row r="246" spans="1:9" ht="19" customHeight="1">
      <c r="A246" s="9">
        <v>45896</v>
      </c>
      <c r="B246" s="10" t="s">
        <v>29</v>
      </c>
      <c r="C246" s="10" t="s">
        <v>16</v>
      </c>
      <c r="D246" s="10" t="s">
        <v>18</v>
      </c>
      <c r="E246" s="11">
        <v>105</v>
      </c>
      <c r="F246" s="12">
        <v>2700</v>
      </c>
      <c r="G246" s="12">
        <v>2100</v>
      </c>
      <c r="H246" s="12">
        <f t="shared" si="3"/>
        <v>283500</v>
      </c>
      <c r="I246" s="4">
        <f>SalesDataTable[[#This Row],[Total Sales]]-(SalesDataTable[[#This Row],[Cost of Goods]]*SalesDataTable[[#This Row],[Units Sold]])</f>
        <v>63000</v>
      </c>
    </row>
    <row r="247" spans="1:9" ht="19" customHeight="1">
      <c r="A247" s="9">
        <v>45898</v>
      </c>
      <c r="B247" s="10" t="s">
        <v>25</v>
      </c>
      <c r="C247" s="10" t="s">
        <v>21</v>
      </c>
      <c r="D247" s="10" t="s">
        <v>15</v>
      </c>
      <c r="E247" s="11">
        <v>30</v>
      </c>
      <c r="F247" s="12">
        <v>11000</v>
      </c>
      <c r="G247" s="12">
        <v>7000</v>
      </c>
      <c r="H247" s="12">
        <f t="shared" si="3"/>
        <v>330000</v>
      </c>
      <c r="I247" s="4">
        <f>SalesDataTable[[#This Row],[Total Sales]]-(SalesDataTable[[#This Row],[Cost of Goods]]*SalesDataTable[[#This Row],[Units Sold]])</f>
        <v>120000</v>
      </c>
    </row>
    <row r="248" spans="1:9" ht="19" customHeight="1">
      <c r="A248" s="9">
        <v>45899</v>
      </c>
      <c r="B248" s="10" t="s">
        <v>20</v>
      </c>
      <c r="C248" s="10" t="s">
        <v>14</v>
      </c>
      <c r="D248" s="10" t="s">
        <v>24</v>
      </c>
      <c r="E248" s="11">
        <v>120</v>
      </c>
      <c r="F248" s="12">
        <v>1100</v>
      </c>
      <c r="G248" s="12">
        <v>850</v>
      </c>
      <c r="H248" s="12">
        <f t="shared" si="3"/>
        <v>132000</v>
      </c>
      <c r="I248" s="4">
        <f>SalesDataTable[[#This Row],[Total Sales]]-(SalesDataTable[[#This Row],[Cost of Goods]]*SalesDataTable[[#This Row],[Units Sold]])</f>
        <v>30000</v>
      </c>
    </row>
    <row r="249" spans="1:9" ht="19" customHeight="1">
      <c r="A249" s="9">
        <v>45902</v>
      </c>
      <c r="B249" s="10" t="s">
        <v>13</v>
      </c>
      <c r="C249" s="10" t="s">
        <v>12</v>
      </c>
      <c r="D249" s="10" t="s">
        <v>15</v>
      </c>
      <c r="E249" s="11">
        <v>146</v>
      </c>
      <c r="F249" s="12">
        <v>10000</v>
      </c>
      <c r="G249" s="12">
        <v>7000</v>
      </c>
      <c r="H249" s="12">
        <f t="shared" si="3"/>
        <v>1460000</v>
      </c>
      <c r="I249" s="4">
        <f>SalesDataTable[[#This Row],[Total Sales]]-(SalesDataTable[[#This Row],[Cost of Goods]]*SalesDataTable[[#This Row],[Units Sold]])</f>
        <v>438000</v>
      </c>
    </row>
    <row r="250" spans="1:9" ht="19" customHeight="1">
      <c r="A250" s="9">
        <v>45902</v>
      </c>
      <c r="B250" s="10" t="s">
        <v>13</v>
      </c>
      <c r="C250" s="10" t="s">
        <v>16</v>
      </c>
      <c r="D250" s="10" t="s">
        <v>28</v>
      </c>
      <c r="E250" s="11">
        <v>42</v>
      </c>
      <c r="F250" s="12">
        <v>4400</v>
      </c>
      <c r="G250" s="12">
        <v>2850</v>
      </c>
      <c r="H250" s="12">
        <f t="shared" si="3"/>
        <v>184800</v>
      </c>
      <c r="I250" s="4">
        <f>SalesDataTable[[#This Row],[Total Sales]]-(SalesDataTable[[#This Row],[Cost of Goods]]*SalesDataTable[[#This Row],[Units Sold]])</f>
        <v>65100</v>
      </c>
    </row>
    <row r="251" spans="1:9" ht="19" customHeight="1">
      <c r="A251" s="9">
        <v>45903</v>
      </c>
      <c r="B251" s="10" t="s">
        <v>36</v>
      </c>
      <c r="C251" s="10" t="s">
        <v>12</v>
      </c>
      <c r="D251" s="10" t="s">
        <v>33</v>
      </c>
      <c r="E251" s="11">
        <v>27</v>
      </c>
      <c r="F251" s="12">
        <v>6300</v>
      </c>
      <c r="G251" s="12">
        <v>4000</v>
      </c>
      <c r="H251" s="12">
        <f t="shared" si="3"/>
        <v>170100</v>
      </c>
      <c r="I251" s="4">
        <f>SalesDataTable[[#This Row],[Total Sales]]-(SalesDataTable[[#This Row],[Cost of Goods]]*SalesDataTable[[#This Row],[Units Sold]])</f>
        <v>62100</v>
      </c>
    </row>
    <row r="252" spans="1:9" ht="19" customHeight="1">
      <c r="A252" s="9">
        <v>45906</v>
      </c>
      <c r="B252" s="10" t="s">
        <v>20</v>
      </c>
      <c r="C252" s="10" t="s">
        <v>16</v>
      </c>
      <c r="D252" s="10" t="s">
        <v>28</v>
      </c>
      <c r="E252" s="11">
        <v>148</v>
      </c>
      <c r="F252" s="12">
        <v>4000</v>
      </c>
      <c r="G252" s="12">
        <v>3000</v>
      </c>
      <c r="H252" s="12">
        <f t="shared" si="3"/>
        <v>592000</v>
      </c>
      <c r="I252" s="4">
        <f>SalesDataTable[[#This Row],[Total Sales]]-(SalesDataTable[[#This Row],[Cost of Goods]]*SalesDataTable[[#This Row],[Units Sold]])</f>
        <v>148000</v>
      </c>
    </row>
    <row r="253" spans="1:9" ht="19" customHeight="1">
      <c r="A253" s="9">
        <v>45910</v>
      </c>
      <c r="B253" s="10" t="s">
        <v>20</v>
      </c>
      <c r="C253" s="10" t="s">
        <v>9</v>
      </c>
      <c r="D253" s="10" t="s">
        <v>31</v>
      </c>
      <c r="E253" s="11">
        <v>84</v>
      </c>
      <c r="F253" s="12">
        <v>650</v>
      </c>
      <c r="G253" s="12">
        <v>400</v>
      </c>
      <c r="H253" s="12">
        <f t="shared" si="3"/>
        <v>54600</v>
      </c>
      <c r="I253" s="4">
        <f>SalesDataTable[[#This Row],[Total Sales]]-(SalesDataTable[[#This Row],[Cost of Goods]]*SalesDataTable[[#This Row],[Units Sold]])</f>
        <v>21000</v>
      </c>
    </row>
    <row r="254" spans="1:9" ht="19" customHeight="1">
      <c r="A254" s="9">
        <v>45915</v>
      </c>
      <c r="B254" s="10" t="s">
        <v>11</v>
      </c>
      <c r="C254" s="10" t="s">
        <v>14</v>
      </c>
      <c r="D254" s="10" t="s">
        <v>15</v>
      </c>
      <c r="E254" s="11">
        <v>131</v>
      </c>
      <c r="F254" s="12">
        <v>9500</v>
      </c>
      <c r="G254" s="12">
        <v>7000</v>
      </c>
      <c r="H254" s="12">
        <f t="shared" si="3"/>
        <v>1244500</v>
      </c>
      <c r="I254" s="4">
        <f>SalesDataTable[[#This Row],[Total Sales]]-(SalesDataTable[[#This Row],[Cost of Goods]]*SalesDataTable[[#This Row],[Units Sold]])</f>
        <v>327500</v>
      </c>
    </row>
    <row r="255" spans="1:9" ht="19" customHeight="1">
      <c r="A255" s="9">
        <v>45916</v>
      </c>
      <c r="B255" s="10" t="s">
        <v>32</v>
      </c>
      <c r="C255" s="10" t="s">
        <v>9</v>
      </c>
      <c r="D255" s="10" t="s">
        <v>24</v>
      </c>
      <c r="E255" s="11">
        <v>101</v>
      </c>
      <c r="F255" s="12">
        <v>1300</v>
      </c>
      <c r="G255" s="12">
        <v>850</v>
      </c>
      <c r="H255" s="12">
        <f t="shared" si="3"/>
        <v>131300</v>
      </c>
      <c r="I255" s="4">
        <f>SalesDataTable[[#This Row],[Total Sales]]-(SalesDataTable[[#This Row],[Cost of Goods]]*SalesDataTable[[#This Row],[Units Sold]])</f>
        <v>45450</v>
      </c>
    </row>
    <row r="256" spans="1:9" ht="19" customHeight="1">
      <c r="A256" s="9">
        <v>45918</v>
      </c>
      <c r="B256" s="10" t="s">
        <v>34</v>
      </c>
      <c r="C256" s="10" t="s">
        <v>16</v>
      </c>
      <c r="D256" s="10" t="s">
        <v>33</v>
      </c>
      <c r="E256" s="11">
        <v>94</v>
      </c>
      <c r="F256" s="12">
        <v>6600</v>
      </c>
      <c r="G256" s="12">
        <v>4200</v>
      </c>
      <c r="H256" s="12">
        <f t="shared" si="3"/>
        <v>620400</v>
      </c>
      <c r="I256" s="4">
        <f>SalesDataTable[[#This Row],[Total Sales]]-(SalesDataTable[[#This Row],[Cost of Goods]]*SalesDataTable[[#This Row],[Units Sold]])</f>
        <v>225600</v>
      </c>
    </row>
    <row r="257" spans="1:9" ht="19" customHeight="1">
      <c r="A257" s="9">
        <v>45921</v>
      </c>
      <c r="B257" s="10" t="s">
        <v>19</v>
      </c>
      <c r="C257" s="10" t="s">
        <v>16</v>
      </c>
      <c r="D257" s="10" t="s">
        <v>31</v>
      </c>
      <c r="E257" s="11">
        <v>107</v>
      </c>
      <c r="F257" s="12">
        <v>600</v>
      </c>
      <c r="G257" s="12">
        <v>400</v>
      </c>
      <c r="H257" s="12">
        <f t="shared" si="3"/>
        <v>64200</v>
      </c>
      <c r="I257" s="4">
        <f>SalesDataTable[[#This Row],[Total Sales]]-(SalesDataTable[[#This Row],[Cost of Goods]]*SalesDataTable[[#This Row],[Units Sold]])</f>
        <v>21400</v>
      </c>
    </row>
    <row r="258" spans="1:9" ht="19" customHeight="1">
      <c r="A258" s="9">
        <v>45927</v>
      </c>
      <c r="B258" s="10" t="s">
        <v>36</v>
      </c>
      <c r="C258" s="10" t="s">
        <v>12</v>
      </c>
      <c r="D258" s="10" t="s">
        <v>28</v>
      </c>
      <c r="E258" s="11">
        <v>52</v>
      </c>
      <c r="F258" s="12">
        <v>4000</v>
      </c>
      <c r="G258" s="12">
        <v>3000</v>
      </c>
      <c r="H258" s="12">
        <f t="shared" ref="H258:H301" si="4">E258*F258</f>
        <v>208000</v>
      </c>
      <c r="I258" s="4">
        <f>SalesDataTable[[#This Row],[Total Sales]]-(SalesDataTable[[#This Row],[Cost of Goods]]*SalesDataTable[[#This Row],[Units Sold]])</f>
        <v>52000</v>
      </c>
    </row>
    <row r="259" spans="1:9" ht="19" customHeight="1">
      <c r="A259" s="9">
        <v>45927</v>
      </c>
      <c r="B259" s="10" t="s">
        <v>32</v>
      </c>
      <c r="C259" s="10" t="s">
        <v>21</v>
      </c>
      <c r="D259" s="10" t="s">
        <v>18</v>
      </c>
      <c r="E259" s="11">
        <v>100</v>
      </c>
      <c r="F259" s="12">
        <v>3150</v>
      </c>
      <c r="G259" s="12">
        <v>2000</v>
      </c>
      <c r="H259" s="12">
        <f t="shared" si="4"/>
        <v>315000</v>
      </c>
      <c r="I259" s="4">
        <f>SalesDataTable[[#This Row],[Total Sales]]-(SalesDataTable[[#This Row],[Cost of Goods]]*SalesDataTable[[#This Row],[Units Sold]])</f>
        <v>115000</v>
      </c>
    </row>
    <row r="260" spans="1:9" ht="19" customHeight="1">
      <c r="A260" s="9">
        <v>45930</v>
      </c>
      <c r="B260" s="10" t="s">
        <v>37</v>
      </c>
      <c r="C260" s="10" t="s">
        <v>9</v>
      </c>
      <c r="D260" s="10" t="s">
        <v>28</v>
      </c>
      <c r="E260" s="11">
        <v>31</v>
      </c>
      <c r="F260" s="12">
        <v>3800</v>
      </c>
      <c r="G260" s="12">
        <v>3000</v>
      </c>
      <c r="H260" s="12">
        <f t="shared" si="4"/>
        <v>117800</v>
      </c>
      <c r="I260" s="4">
        <f>SalesDataTable[[#This Row],[Total Sales]]-(SalesDataTable[[#This Row],[Cost of Goods]]*SalesDataTable[[#This Row],[Units Sold]])</f>
        <v>24800</v>
      </c>
    </row>
    <row r="261" spans="1:9" ht="19" customHeight="1">
      <c r="A261" s="9">
        <v>45935</v>
      </c>
      <c r="B261" s="10" t="s">
        <v>37</v>
      </c>
      <c r="C261" s="10" t="s">
        <v>9</v>
      </c>
      <c r="D261" s="10" t="s">
        <v>18</v>
      </c>
      <c r="E261" s="11">
        <v>34</v>
      </c>
      <c r="F261" s="12">
        <v>3300</v>
      </c>
      <c r="G261" s="12">
        <v>2100</v>
      </c>
      <c r="H261" s="12">
        <f t="shared" si="4"/>
        <v>112200</v>
      </c>
      <c r="I261" s="4">
        <f>SalesDataTable[[#This Row],[Total Sales]]-(SalesDataTable[[#This Row],[Cost of Goods]]*SalesDataTable[[#This Row],[Units Sold]])</f>
        <v>40800</v>
      </c>
    </row>
    <row r="262" spans="1:9" ht="19" customHeight="1">
      <c r="A262" s="9">
        <v>45936</v>
      </c>
      <c r="B262" s="10" t="s">
        <v>11</v>
      </c>
      <c r="C262" s="10" t="s">
        <v>12</v>
      </c>
      <c r="D262" s="10" t="s">
        <v>31</v>
      </c>
      <c r="E262" s="11">
        <v>150</v>
      </c>
      <c r="F262" s="12">
        <v>650</v>
      </c>
      <c r="G262" s="12">
        <v>400</v>
      </c>
      <c r="H262" s="12">
        <f t="shared" si="4"/>
        <v>97500</v>
      </c>
      <c r="I262" s="4">
        <f>SalesDataTable[[#This Row],[Total Sales]]-(SalesDataTable[[#This Row],[Cost of Goods]]*SalesDataTable[[#This Row],[Units Sold]])</f>
        <v>37500</v>
      </c>
    </row>
    <row r="263" spans="1:9" ht="19" customHeight="1">
      <c r="A263" s="9">
        <v>45940</v>
      </c>
      <c r="B263" s="10" t="s">
        <v>29</v>
      </c>
      <c r="C263" s="10" t="s">
        <v>12</v>
      </c>
      <c r="D263" s="10" t="s">
        <v>33</v>
      </c>
      <c r="E263" s="11">
        <v>146</v>
      </c>
      <c r="F263" s="12">
        <v>6000</v>
      </c>
      <c r="G263" s="12">
        <v>3800</v>
      </c>
      <c r="H263" s="12">
        <f t="shared" si="4"/>
        <v>876000</v>
      </c>
      <c r="I263" s="4">
        <f>SalesDataTable[[#This Row],[Total Sales]]-(SalesDataTable[[#This Row],[Cost of Goods]]*SalesDataTable[[#This Row],[Units Sold]])</f>
        <v>321200</v>
      </c>
    </row>
    <row r="264" spans="1:9" ht="19" customHeight="1">
      <c r="A264" s="9">
        <v>45942</v>
      </c>
      <c r="B264" s="10" t="s">
        <v>37</v>
      </c>
      <c r="C264" s="10" t="s">
        <v>14</v>
      </c>
      <c r="D264" s="10" t="s">
        <v>10</v>
      </c>
      <c r="E264" s="11">
        <v>111</v>
      </c>
      <c r="F264" s="12">
        <v>3500</v>
      </c>
      <c r="G264" s="12">
        <v>2500</v>
      </c>
      <c r="H264" s="12">
        <f t="shared" si="4"/>
        <v>388500</v>
      </c>
      <c r="I264" s="4">
        <f>SalesDataTable[[#This Row],[Total Sales]]-(SalesDataTable[[#This Row],[Cost of Goods]]*SalesDataTable[[#This Row],[Units Sold]])</f>
        <v>111000</v>
      </c>
    </row>
    <row r="265" spans="1:9" ht="19" customHeight="1">
      <c r="A265" s="9">
        <v>45949</v>
      </c>
      <c r="B265" s="10" t="s">
        <v>32</v>
      </c>
      <c r="C265" s="10" t="s">
        <v>21</v>
      </c>
      <c r="D265" s="10" t="s">
        <v>18</v>
      </c>
      <c r="E265" s="11">
        <v>113</v>
      </c>
      <c r="F265" s="12">
        <v>2850</v>
      </c>
      <c r="G265" s="12">
        <v>2200</v>
      </c>
      <c r="H265" s="12">
        <f t="shared" si="4"/>
        <v>322050</v>
      </c>
      <c r="I265" s="4">
        <f>SalesDataTable[[#This Row],[Total Sales]]-(SalesDataTable[[#This Row],[Cost of Goods]]*SalesDataTable[[#This Row],[Units Sold]])</f>
        <v>73450</v>
      </c>
    </row>
    <row r="266" spans="1:9" ht="19" customHeight="1">
      <c r="A266" s="9">
        <v>45953</v>
      </c>
      <c r="B266" s="10" t="s">
        <v>35</v>
      </c>
      <c r="C266" s="10" t="s">
        <v>14</v>
      </c>
      <c r="D266" s="10" t="s">
        <v>28</v>
      </c>
      <c r="E266" s="11">
        <v>107</v>
      </c>
      <c r="F266" s="12">
        <v>4200</v>
      </c>
      <c r="G266" s="12">
        <v>2850</v>
      </c>
      <c r="H266" s="12">
        <f t="shared" si="4"/>
        <v>449400</v>
      </c>
      <c r="I266" s="4">
        <f>SalesDataTable[[#This Row],[Total Sales]]-(SalesDataTable[[#This Row],[Cost of Goods]]*SalesDataTable[[#This Row],[Units Sold]])</f>
        <v>144450</v>
      </c>
    </row>
    <row r="267" spans="1:9" ht="19" customHeight="1">
      <c r="A267" s="9">
        <v>45956</v>
      </c>
      <c r="B267" s="10" t="s">
        <v>25</v>
      </c>
      <c r="C267" s="10" t="s">
        <v>14</v>
      </c>
      <c r="D267" s="10" t="s">
        <v>33</v>
      </c>
      <c r="E267" s="11">
        <v>106</v>
      </c>
      <c r="F267" s="12">
        <v>5700</v>
      </c>
      <c r="G267" s="12">
        <v>3800</v>
      </c>
      <c r="H267" s="12">
        <f t="shared" si="4"/>
        <v>604200</v>
      </c>
      <c r="I267" s="4">
        <f>SalesDataTable[[#This Row],[Total Sales]]-(SalesDataTable[[#This Row],[Cost of Goods]]*SalesDataTable[[#This Row],[Units Sold]])</f>
        <v>201400</v>
      </c>
    </row>
    <row r="268" spans="1:9" ht="19" customHeight="1">
      <c r="A268" s="9">
        <v>45959</v>
      </c>
      <c r="B268" s="10" t="s">
        <v>13</v>
      </c>
      <c r="C268" s="10" t="s">
        <v>16</v>
      </c>
      <c r="D268" s="10" t="s">
        <v>22</v>
      </c>
      <c r="E268" s="11">
        <v>43</v>
      </c>
      <c r="F268" s="12">
        <v>1100</v>
      </c>
      <c r="G268" s="12">
        <v>650</v>
      </c>
      <c r="H268" s="12">
        <f t="shared" si="4"/>
        <v>47300</v>
      </c>
      <c r="I268" s="4">
        <f>SalesDataTable[[#This Row],[Total Sales]]-(SalesDataTable[[#This Row],[Cost of Goods]]*SalesDataTable[[#This Row],[Units Sold]])</f>
        <v>19350</v>
      </c>
    </row>
    <row r="269" spans="1:9" ht="19" customHeight="1">
      <c r="A269" s="9">
        <v>45960</v>
      </c>
      <c r="B269" s="10" t="s">
        <v>17</v>
      </c>
      <c r="C269" s="10" t="s">
        <v>12</v>
      </c>
      <c r="D269" s="10" t="s">
        <v>18</v>
      </c>
      <c r="E269" s="11">
        <v>44</v>
      </c>
      <c r="F269" s="12">
        <v>3000</v>
      </c>
      <c r="G269" s="12">
        <v>2100</v>
      </c>
      <c r="H269" s="12">
        <f t="shared" si="4"/>
        <v>132000</v>
      </c>
      <c r="I269" s="4">
        <f>SalesDataTable[[#This Row],[Total Sales]]-(SalesDataTable[[#This Row],[Cost of Goods]]*SalesDataTable[[#This Row],[Units Sold]])</f>
        <v>39600</v>
      </c>
    </row>
    <row r="270" spans="1:9" ht="19" customHeight="1">
      <c r="A270" s="9">
        <v>45962</v>
      </c>
      <c r="B270" s="10" t="s">
        <v>35</v>
      </c>
      <c r="C270" s="10" t="s">
        <v>21</v>
      </c>
      <c r="D270" s="10" t="s">
        <v>24</v>
      </c>
      <c r="E270" s="11">
        <v>52</v>
      </c>
      <c r="F270" s="12">
        <v>1150</v>
      </c>
      <c r="G270" s="12">
        <v>750</v>
      </c>
      <c r="H270" s="12">
        <f t="shared" si="4"/>
        <v>59800</v>
      </c>
      <c r="I270" s="4">
        <f>SalesDataTable[[#This Row],[Total Sales]]-(SalesDataTable[[#This Row],[Cost of Goods]]*SalesDataTable[[#This Row],[Units Sold]])</f>
        <v>20800</v>
      </c>
    </row>
    <row r="271" spans="1:9" ht="19" customHeight="1">
      <c r="A271" s="9">
        <v>45962</v>
      </c>
      <c r="B271" s="10" t="s">
        <v>34</v>
      </c>
      <c r="C271" s="10" t="s">
        <v>14</v>
      </c>
      <c r="D271" s="10" t="s">
        <v>15</v>
      </c>
      <c r="E271" s="11">
        <v>101</v>
      </c>
      <c r="F271" s="12">
        <v>10500</v>
      </c>
      <c r="G271" s="12">
        <v>6650</v>
      </c>
      <c r="H271" s="12">
        <f t="shared" si="4"/>
        <v>1060500</v>
      </c>
      <c r="I271" s="4">
        <f>SalesDataTable[[#This Row],[Total Sales]]-(SalesDataTable[[#This Row],[Cost of Goods]]*SalesDataTable[[#This Row],[Units Sold]])</f>
        <v>388850</v>
      </c>
    </row>
    <row r="272" spans="1:9" ht="19" customHeight="1">
      <c r="A272" s="9">
        <v>45963</v>
      </c>
      <c r="B272" s="10" t="s">
        <v>23</v>
      </c>
      <c r="C272" s="10" t="s">
        <v>21</v>
      </c>
      <c r="D272" s="10" t="s">
        <v>18</v>
      </c>
      <c r="E272" s="11">
        <v>149</v>
      </c>
      <c r="F272" s="12">
        <v>3000</v>
      </c>
      <c r="G272" s="12">
        <v>2000</v>
      </c>
      <c r="H272" s="12">
        <f t="shared" si="4"/>
        <v>447000</v>
      </c>
      <c r="I272" s="4">
        <f>SalesDataTable[[#This Row],[Total Sales]]-(SalesDataTable[[#This Row],[Cost of Goods]]*SalesDataTable[[#This Row],[Units Sold]])</f>
        <v>149000</v>
      </c>
    </row>
    <row r="273" spans="1:9" ht="19" customHeight="1">
      <c r="A273" s="9">
        <v>45966</v>
      </c>
      <c r="B273" s="10" t="s">
        <v>17</v>
      </c>
      <c r="C273" s="10" t="s">
        <v>9</v>
      </c>
      <c r="D273" s="10" t="s">
        <v>28</v>
      </c>
      <c r="E273" s="11">
        <v>56</v>
      </c>
      <c r="F273" s="12">
        <v>4000</v>
      </c>
      <c r="G273" s="12">
        <v>3000</v>
      </c>
      <c r="H273" s="12">
        <f t="shared" si="4"/>
        <v>224000</v>
      </c>
      <c r="I273" s="4">
        <f>SalesDataTable[[#This Row],[Total Sales]]-(SalesDataTable[[#This Row],[Cost of Goods]]*SalesDataTable[[#This Row],[Units Sold]])</f>
        <v>56000</v>
      </c>
    </row>
    <row r="274" spans="1:9" ht="19" customHeight="1">
      <c r="A274" s="9">
        <v>45970</v>
      </c>
      <c r="B274" s="10" t="s">
        <v>20</v>
      </c>
      <c r="C274" s="10" t="s">
        <v>16</v>
      </c>
      <c r="D274" s="10" t="s">
        <v>22</v>
      </c>
      <c r="E274" s="11">
        <v>36</v>
      </c>
      <c r="F274" s="12">
        <v>1100</v>
      </c>
      <c r="G274" s="12">
        <v>700</v>
      </c>
      <c r="H274" s="12">
        <f t="shared" si="4"/>
        <v>39600</v>
      </c>
      <c r="I274" s="4">
        <f>SalesDataTable[[#This Row],[Total Sales]]-(SalesDataTable[[#This Row],[Cost of Goods]]*SalesDataTable[[#This Row],[Units Sold]])</f>
        <v>14400</v>
      </c>
    </row>
    <row r="275" spans="1:9" ht="19" customHeight="1">
      <c r="A275" s="9">
        <v>45973</v>
      </c>
      <c r="B275" s="10" t="s">
        <v>17</v>
      </c>
      <c r="C275" s="10" t="s">
        <v>21</v>
      </c>
      <c r="D275" s="10" t="s">
        <v>30</v>
      </c>
      <c r="E275" s="11">
        <v>95</v>
      </c>
      <c r="F275" s="12">
        <v>4750</v>
      </c>
      <c r="G275" s="12">
        <v>3050</v>
      </c>
      <c r="H275" s="12">
        <f t="shared" si="4"/>
        <v>451250</v>
      </c>
      <c r="I275" s="4">
        <f>SalesDataTable[[#This Row],[Total Sales]]-(SalesDataTable[[#This Row],[Cost of Goods]]*SalesDataTable[[#This Row],[Units Sold]])</f>
        <v>161500</v>
      </c>
    </row>
    <row r="276" spans="1:9" ht="19" customHeight="1">
      <c r="A276" s="9">
        <v>45977</v>
      </c>
      <c r="B276" s="10" t="s">
        <v>34</v>
      </c>
      <c r="C276" s="10" t="s">
        <v>12</v>
      </c>
      <c r="D276" s="10" t="s">
        <v>31</v>
      </c>
      <c r="E276" s="11">
        <v>58</v>
      </c>
      <c r="F276" s="12">
        <v>600</v>
      </c>
      <c r="G276" s="12">
        <v>400</v>
      </c>
      <c r="H276" s="12">
        <f t="shared" si="4"/>
        <v>34800</v>
      </c>
      <c r="I276" s="4">
        <f>SalesDataTable[[#This Row],[Total Sales]]-(SalesDataTable[[#This Row],[Cost of Goods]]*SalesDataTable[[#This Row],[Units Sold]])</f>
        <v>11600</v>
      </c>
    </row>
    <row r="277" spans="1:9" ht="19" customHeight="1">
      <c r="A277" s="9">
        <v>45978</v>
      </c>
      <c r="B277" s="10" t="s">
        <v>34</v>
      </c>
      <c r="C277" s="10" t="s">
        <v>16</v>
      </c>
      <c r="D277" s="10" t="s">
        <v>31</v>
      </c>
      <c r="E277" s="11">
        <v>82</v>
      </c>
      <c r="F277" s="12">
        <v>600</v>
      </c>
      <c r="G277" s="12">
        <v>400</v>
      </c>
      <c r="H277" s="12">
        <f t="shared" si="4"/>
        <v>49200</v>
      </c>
      <c r="I277" s="4">
        <f>SalesDataTable[[#This Row],[Total Sales]]-(SalesDataTable[[#This Row],[Cost of Goods]]*SalesDataTable[[#This Row],[Units Sold]])</f>
        <v>16400</v>
      </c>
    </row>
    <row r="278" spans="1:9" ht="19" customHeight="1">
      <c r="A278" s="9">
        <v>45980</v>
      </c>
      <c r="B278" s="10" t="s">
        <v>17</v>
      </c>
      <c r="C278" s="10" t="s">
        <v>21</v>
      </c>
      <c r="D278" s="10" t="s">
        <v>26</v>
      </c>
      <c r="E278" s="11">
        <v>131</v>
      </c>
      <c r="F278" s="12">
        <v>2500</v>
      </c>
      <c r="G278" s="12">
        <v>1700</v>
      </c>
      <c r="H278" s="12">
        <f t="shared" si="4"/>
        <v>327500</v>
      </c>
      <c r="I278" s="4">
        <f>SalesDataTable[[#This Row],[Total Sales]]-(SalesDataTable[[#This Row],[Cost of Goods]]*SalesDataTable[[#This Row],[Units Sold]])</f>
        <v>104800</v>
      </c>
    </row>
    <row r="279" spans="1:9" ht="19" customHeight="1">
      <c r="A279" s="9">
        <v>45985</v>
      </c>
      <c r="B279" s="10" t="s">
        <v>37</v>
      </c>
      <c r="C279" s="10" t="s">
        <v>9</v>
      </c>
      <c r="D279" s="10" t="s">
        <v>22</v>
      </c>
      <c r="E279" s="11">
        <v>96</v>
      </c>
      <c r="F279" s="12">
        <v>1000</v>
      </c>
      <c r="G279" s="12">
        <v>650</v>
      </c>
      <c r="H279" s="12">
        <f t="shared" si="4"/>
        <v>96000</v>
      </c>
      <c r="I279" s="4">
        <f>SalesDataTable[[#This Row],[Total Sales]]-(SalesDataTable[[#This Row],[Cost of Goods]]*SalesDataTable[[#This Row],[Units Sold]])</f>
        <v>33600</v>
      </c>
    </row>
    <row r="280" spans="1:9" ht="19" customHeight="1">
      <c r="A280" s="9">
        <v>45986</v>
      </c>
      <c r="B280" s="10" t="s">
        <v>27</v>
      </c>
      <c r="C280" s="10" t="s">
        <v>14</v>
      </c>
      <c r="D280" s="10" t="s">
        <v>31</v>
      </c>
      <c r="E280" s="11">
        <v>47</v>
      </c>
      <c r="F280" s="12">
        <v>650</v>
      </c>
      <c r="G280" s="12">
        <v>400</v>
      </c>
      <c r="H280" s="12">
        <f t="shared" si="4"/>
        <v>30550</v>
      </c>
      <c r="I280" s="4">
        <f>SalesDataTable[[#This Row],[Total Sales]]-(SalesDataTable[[#This Row],[Cost of Goods]]*SalesDataTable[[#This Row],[Units Sold]])</f>
        <v>11750</v>
      </c>
    </row>
    <row r="281" spans="1:9" ht="19" customHeight="1">
      <c r="A281" s="9">
        <v>45988</v>
      </c>
      <c r="B281" s="10" t="s">
        <v>17</v>
      </c>
      <c r="C281" s="10" t="s">
        <v>12</v>
      </c>
      <c r="D281" s="10" t="s">
        <v>15</v>
      </c>
      <c r="E281" s="11">
        <v>100</v>
      </c>
      <c r="F281" s="12">
        <v>9000</v>
      </c>
      <c r="G281" s="12">
        <v>7000</v>
      </c>
      <c r="H281" s="12">
        <f t="shared" si="4"/>
        <v>900000</v>
      </c>
      <c r="I281" s="4">
        <f>SalesDataTable[[#This Row],[Total Sales]]-(SalesDataTable[[#This Row],[Cost of Goods]]*SalesDataTable[[#This Row],[Units Sold]])</f>
        <v>200000</v>
      </c>
    </row>
    <row r="282" spans="1:9" ht="19" customHeight="1">
      <c r="A282" s="9">
        <v>45992</v>
      </c>
      <c r="B282" s="10" t="s">
        <v>11</v>
      </c>
      <c r="C282" s="10" t="s">
        <v>9</v>
      </c>
      <c r="D282" s="10" t="s">
        <v>18</v>
      </c>
      <c r="E282" s="11">
        <v>115</v>
      </c>
      <c r="F282" s="12">
        <v>2700</v>
      </c>
      <c r="G282" s="12">
        <v>2100</v>
      </c>
      <c r="H282" s="12">
        <f t="shared" si="4"/>
        <v>310500</v>
      </c>
      <c r="I282" s="4">
        <f>SalesDataTable[[#This Row],[Total Sales]]-(SalesDataTable[[#This Row],[Cost of Goods]]*SalesDataTable[[#This Row],[Units Sold]])</f>
        <v>69000</v>
      </c>
    </row>
    <row r="283" spans="1:9" ht="19" customHeight="1">
      <c r="A283" s="9">
        <v>45996</v>
      </c>
      <c r="B283" s="10" t="s">
        <v>27</v>
      </c>
      <c r="C283" s="10" t="s">
        <v>21</v>
      </c>
      <c r="D283" s="10" t="s">
        <v>26</v>
      </c>
      <c r="E283" s="11">
        <v>123</v>
      </c>
      <c r="F283" s="12">
        <v>2500</v>
      </c>
      <c r="G283" s="12">
        <v>1700</v>
      </c>
      <c r="H283" s="12">
        <f t="shared" si="4"/>
        <v>307500</v>
      </c>
      <c r="I283" s="4">
        <f>SalesDataTable[[#This Row],[Total Sales]]-(SalesDataTable[[#This Row],[Cost of Goods]]*SalesDataTable[[#This Row],[Units Sold]])</f>
        <v>98400</v>
      </c>
    </row>
    <row r="284" spans="1:9" ht="19" customHeight="1">
      <c r="A284" s="9">
        <v>45997</v>
      </c>
      <c r="B284" s="10" t="s">
        <v>8</v>
      </c>
      <c r="C284" s="10" t="s">
        <v>9</v>
      </c>
      <c r="D284" s="10" t="s">
        <v>30</v>
      </c>
      <c r="E284" s="11">
        <v>100</v>
      </c>
      <c r="F284" s="12">
        <v>4750</v>
      </c>
      <c r="G284" s="12">
        <v>3050</v>
      </c>
      <c r="H284" s="12">
        <f t="shared" si="4"/>
        <v>475000</v>
      </c>
      <c r="I284" s="4">
        <f>SalesDataTable[[#This Row],[Total Sales]]-(SalesDataTable[[#This Row],[Cost of Goods]]*SalesDataTable[[#This Row],[Units Sold]])</f>
        <v>170000</v>
      </c>
    </row>
    <row r="285" spans="1:9" ht="19" customHeight="1">
      <c r="A285" s="9">
        <v>45998</v>
      </c>
      <c r="B285" s="10" t="s">
        <v>37</v>
      </c>
      <c r="C285" s="10" t="s">
        <v>9</v>
      </c>
      <c r="D285" s="10" t="s">
        <v>30</v>
      </c>
      <c r="E285" s="11">
        <v>82</v>
      </c>
      <c r="F285" s="12">
        <v>4050</v>
      </c>
      <c r="G285" s="12">
        <v>3200</v>
      </c>
      <c r="H285" s="12">
        <f t="shared" si="4"/>
        <v>332100</v>
      </c>
      <c r="I285" s="4">
        <f>SalesDataTable[[#This Row],[Total Sales]]-(SalesDataTable[[#This Row],[Cost of Goods]]*SalesDataTable[[#This Row],[Units Sold]])</f>
        <v>69700</v>
      </c>
    </row>
    <row r="286" spans="1:9" ht="19" customHeight="1">
      <c r="A286" s="9">
        <v>46000</v>
      </c>
      <c r="B286" s="10" t="s">
        <v>32</v>
      </c>
      <c r="C286" s="10" t="s">
        <v>16</v>
      </c>
      <c r="D286" s="10" t="s">
        <v>31</v>
      </c>
      <c r="E286" s="11">
        <v>96</v>
      </c>
      <c r="F286" s="12">
        <v>550</v>
      </c>
      <c r="G286" s="12">
        <v>400</v>
      </c>
      <c r="H286" s="12">
        <f t="shared" si="4"/>
        <v>52800</v>
      </c>
      <c r="I286" s="4">
        <f>SalesDataTable[[#This Row],[Total Sales]]-(SalesDataTable[[#This Row],[Cost of Goods]]*SalesDataTable[[#This Row],[Units Sold]])</f>
        <v>14400</v>
      </c>
    </row>
    <row r="287" spans="1:9" ht="19" customHeight="1">
      <c r="A287" s="9">
        <v>46001</v>
      </c>
      <c r="B287" s="10" t="s">
        <v>37</v>
      </c>
      <c r="C287" s="10" t="s">
        <v>12</v>
      </c>
      <c r="D287" s="10" t="s">
        <v>33</v>
      </c>
      <c r="E287" s="11">
        <v>126</v>
      </c>
      <c r="F287" s="12">
        <v>6000</v>
      </c>
      <c r="G287" s="12">
        <v>4000</v>
      </c>
      <c r="H287" s="12">
        <f t="shared" si="4"/>
        <v>756000</v>
      </c>
      <c r="I287" s="4">
        <f>SalesDataTable[[#This Row],[Total Sales]]-(SalesDataTable[[#This Row],[Cost of Goods]]*SalesDataTable[[#This Row],[Units Sold]])</f>
        <v>252000</v>
      </c>
    </row>
    <row r="288" spans="1:9" ht="19" customHeight="1">
      <c r="A288" s="9">
        <v>46003</v>
      </c>
      <c r="B288" s="10" t="s">
        <v>35</v>
      </c>
      <c r="C288" s="10" t="s">
        <v>9</v>
      </c>
      <c r="D288" s="10" t="s">
        <v>33</v>
      </c>
      <c r="E288" s="11">
        <v>110</v>
      </c>
      <c r="F288" s="12">
        <v>6000</v>
      </c>
      <c r="G288" s="12">
        <v>3800</v>
      </c>
      <c r="H288" s="12">
        <f t="shared" si="4"/>
        <v>660000</v>
      </c>
      <c r="I288" s="4">
        <f>SalesDataTable[[#This Row],[Total Sales]]-(SalesDataTable[[#This Row],[Cost of Goods]]*SalesDataTable[[#This Row],[Units Sold]])</f>
        <v>242000</v>
      </c>
    </row>
    <row r="289" spans="1:9" ht="19" customHeight="1">
      <c r="A289" s="9">
        <v>46003</v>
      </c>
      <c r="B289" s="10" t="s">
        <v>17</v>
      </c>
      <c r="C289" s="10" t="s">
        <v>21</v>
      </c>
      <c r="D289" s="10" t="s">
        <v>30</v>
      </c>
      <c r="E289" s="11">
        <v>35</v>
      </c>
      <c r="F289" s="12">
        <v>4500</v>
      </c>
      <c r="G289" s="12">
        <v>3350</v>
      </c>
      <c r="H289" s="12">
        <f t="shared" si="4"/>
        <v>157500</v>
      </c>
      <c r="I289" s="4">
        <f>SalesDataTable[[#This Row],[Total Sales]]-(SalesDataTable[[#This Row],[Cost of Goods]]*SalesDataTable[[#This Row],[Units Sold]])</f>
        <v>40250</v>
      </c>
    </row>
    <row r="290" spans="1:9" ht="19" customHeight="1">
      <c r="A290" s="9">
        <v>46004</v>
      </c>
      <c r="B290" s="10" t="s">
        <v>25</v>
      </c>
      <c r="C290" s="10" t="s">
        <v>9</v>
      </c>
      <c r="D290" s="10" t="s">
        <v>31</v>
      </c>
      <c r="E290" s="11">
        <v>139</v>
      </c>
      <c r="F290" s="12">
        <v>650</v>
      </c>
      <c r="G290" s="12">
        <v>400</v>
      </c>
      <c r="H290" s="12">
        <f t="shared" si="4"/>
        <v>90350</v>
      </c>
      <c r="I290" s="4">
        <f>SalesDataTable[[#This Row],[Total Sales]]-(SalesDataTable[[#This Row],[Cost of Goods]]*SalesDataTable[[#This Row],[Units Sold]])</f>
        <v>34750</v>
      </c>
    </row>
    <row r="291" spans="1:9" ht="19" customHeight="1">
      <c r="A291" s="9">
        <v>46004</v>
      </c>
      <c r="B291" s="10" t="s">
        <v>25</v>
      </c>
      <c r="C291" s="10" t="s">
        <v>9</v>
      </c>
      <c r="D291" s="10" t="s">
        <v>24</v>
      </c>
      <c r="E291" s="11">
        <v>150</v>
      </c>
      <c r="F291" s="12">
        <v>1300</v>
      </c>
      <c r="G291" s="12">
        <v>800</v>
      </c>
      <c r="H291" s="12">
        <f t="shared" si="4"/>
        <v>195000</v>
      </c>
      <c r="I291" s="4">
        <f>SalesDataTable[[#This Row],[Total Sales]]-(SalesDataTable[[#This Row],[Cost of Goods]]*SalesDataTable[[#This Row],[Units Sold]])</f>
        <v>75000</v>
      </c>
    </row>
    <row r="292" spans="1:9" ht="19" customHeight="1">
      <c r="A292" s="9">
        <v>46006</v>
      </c>
      <c r="B292" s="10" t="s">
        <v>23</v>
      </c>
      <c r="C292" s="10" t="s">
        <v>21</v>
      </c>
      <c r="D292" s="10" t="s">
        <v>31</v>
      </c>
      <c r="E292" s="11">
        <v>54</v>
      </c>
      <c r="F292" s="12">
        <v>600</v>
      </c>
      <c r="G292" s="12">
        <v>400</v>
      </c>
      <c r="H292" s="12">
        <f t="shared" si="4"/>
        <v>32400</v>
      </c>
      <c r="I292" s="4">
        <f>SalesDataTable[[#This Row],[Total Sales]]-(SalesDataTable[[#This Row],[Cost of Goods]]*SalesDataTable[[#This Row],[Units Sold]])</f>
        <v>10800</v>
      </c>
    </row>
    <row r="293" spans="1:9" ht="19" customHeight="1">
      <c r="A293" s="9">
        <v>46008</v>
      </c>
      <c r="B293" s="10" t="s">
        <v>25</v>
      </c>
      <c r="C293" s="10" t="s">
        <v>9</v>
      </c>
      <c r="D293" s="10" t="s">
        <v>33</v>
      </c>
      <c r="E293" s="11">
        <v>50</v>
      </c>
      <c r="F293" s="12">
        <v>6600</v>
      </c>
      <c r="G293" s="12">
        <v>4200</v>
      </c>
      <c r="H293" s="12">
        <f t="shared" si="4"/>
        <v>330000</v>
      </c>
      <c r="I293" s="4">
        <f>SalesDataTable[[#This Row],[Total Sales]]-(SalesDataTable[[#This Row],[Cost of Goods]]*SalesDataTable[[#This Row],[Units Sold]])</f>
        <v>120000</v>
      </c>
    </row>
    <row r="294" spans="1:9" ht="19" customHeight="1">
      <c r="A294" s="9">
        <v>46008</v>
      </c>
      <c r="B294" s="10" t="s">
        <v>13</v>
      </c>
      <c r="C294" s="10" t="s">
        <v>12</v>
      </c>
      <c r="D294" s="10" t="s">
        <v>10</v>
      </c>
      <c r="E294" s="11">
        <v>83</v>
      </c>
      <c r="F294" s="12">
        <v>3150</v>
      </c>
      <c r="G294" s="12">
        <v>2500</v>
      </c>
      <c r="H294" s="12">
        <f t="shared" si="4"/>
        <v>261450</v>
      </c>
      <c r="I294" s="4">
        <f>SalesDataTable[[#This Row],[Total Sales]]-(SalesDataTable[[#This Row],[Cost of Goods]]*SalesDataTable[[#This Row],[Units Sold]])</f>
        <v>53950</v>
      </c>
    </row>
    <row r="295" spans="1:9" ht="19" customHeight="1">
      <c r="A295" s="9">
        <v>46012</v>
      </c>
      <c r="B295" s="10" t="s">
        <v>36</v>
      </c>
      <c r="C295" s="10" t="s">
        <v>21</v>
      </c>
      <c r="D295" s="10" t="s">
        <v>18</v>
      </c>
      <c r="E295" s="11">
        <v>35</v>
      </c>
      <c r="F295" s="12">
        <v>2850</v>
      </c>
      <c r="G295" s="12">
        <v>2000</v>
      </c>
      <c r="H295" s="12">
        <f t="shared" si="4"/>
        <v>99750</v>
      </c>
      <c r="I295" s="4">
        <f>SalesDataTable[[#This Row],[Total Sales]]-(SalesDataTable[[#This Row],[Cost of Goods]]*SalesDataTable[[#This Row],[Units Sold]])</f>
        <v>29750</v>
      </c>
    </row>
    <row r="296" spans="1:9" ht="19" customHeight="1">
      <c r="A296" s="9">
        <v>46013</v>
      </c>
      <c r="B296" s="10" t="s">
        <v>13</v>
      </c>
      <c r="C296" s="10" t="s">
        <v>16</v>
      </c>
      <c r="D296" s="10" t="s">
        <v>15</v>
      </c>
      <c r="E296" s="11">
        <v>78</v>
      </c>
      <c r="F296" s="12">
        <v>10000</v>
      </c>
      <c r="G296" s="12">
        <v>7350</v>
      </c>
      <c r="H296" s="12">
        <f t="shared" si="4"/>
        <v>780000</v>
      </c>
      <c r="I296" s="4">
        <f>SalesDataTable[[#This Row],[Total Sales]]-(SalesDataTable[[#This Row],[Cost of Goods]]*SalesDataTable[[#This Row],[Units Sold]])</f>
        <v>206700</v>
      </c>
    </row>
    <row r="297" spans="1:9" ht="19" customHeight="1">
      <c r="A297" s="9">
        <v>46018</v>
      </c>
      <c r="B297" s="10" t="s">
        <v>25</v>
      </c>
      <c r="C297" s="10" t="s">
        <v>9</v>
      </c>
      <c r="D297" s="10" t="s">
        <v>18</v>
      </c>
      <c r="E297" s="11">
        <v>149</v>
      </c>
      <c r="F297" s="12">
        <v>3300</v>
      </c>
      <c r="G297" s="12">
        <v>2200</v>
      </c>
      <c r="H297" s="12">
        <f t="shared" si="4"/>
        <v>491700</v>
      </c>
      <c r="I297" s="4">
        <f>SalesDataTable[[#This Row],[Total Sales]]-(SalesDataTable[[#This Row],[Cost of Goods]]*SalesDataTable[[#This Row],[Units Sold]])</f>
        <v>163900</v>
      </c>
    </row>
    <row r="298" spans="1:9" ht="19" customHeight="1">
      <c r="A298" s="9">
        <v>46019</v>
      </c>
      <c r="B298" s="10" t="s">
        <v>29</v>
      </c>
      <c r="C298" s="10" t="s">
        <v>9</v>
      </c>
      <c r="D298" s="10" t="s">
        <v>22</v>
      </c>
      <c r="E298" s="11">
        <v>45</v>
      </c>
      <c r="F298" s="12">
        <v>1050</v>
      </c>
      <c r="G298" s="12">
        <v>700</v>
      </c>
      <c r="H298" s="12">
        <f t="shared" si="4"/>
        <v>47250</v>
      </c>
      <c r="I298" s="4">
        <f>SalesDataTable[[#This Row],[Total Sales]]-(SalesDataTable[[#This Row],[Cost of Goods]]*SalesDataTable[[#This Row],[Units Sold]])</f>
        <v>15750</v>
      </c>
    </row>
    <row r="299" spans="1:9" ht="19" customHeight="1">
      <c r="A299" s="9">
        <v>46019</v>
      </c>
      <c r="B299" s="10" t="s">
        <v>32</v>
      </c>
      <c r="C299" s="10" t="s">
        <v>14</v>
      </c>
      <c r="D299" s="10" t="s">
        <v>30</v>
      </c>
      <c r="E299" s="11">
        <v>40</v>
      </c>
      <c r="F299" s="12">
        <v>4050</v>
      </c>
      <c r="G299" s="12">
        <v>3350</v>
      </c>
      <c r="H299" s="12">
        <f t="shared" si="4"/>
        <v>162000</v>
      </c>
      <c r="I299" s="4">
        <f>SalesDataTable[[#This Row],[Total Sales]]-(SalesDataTable[[#This Row],[Cost of Goods]]*SalesDataTable[[#This Row],[Units Sold]])</f>
        <v>28000</v>
      </c>
    </row>
    <row r="300" spans="1:9" ht="19" customHeight="1">
      <c r="A300" s="9">
        <v>46019</v>
      </c>
      <c r="B300" s="10" t="s">
        <v>20</v>
      </c>
      <c r="C300" s="10" t="s">
        <v>12</v>
      </c>
      <c r="D300" s="10" t="s">
        <v>26</v>
      </c>
      <c r="E300" s="11">
        <v>70</v>
      </c>
      <c r="F300" s="12">
        <v>2750</v>
      </c>
      <c r="G300" s="12">
        <v>1600</v>
      </c>
      <c r="H300" s="12">
        <f t="shared" si="4"/>
        <v>192500</v>
      </c>
      <c r="I300" s="4">
        <f>SalesDataTable[[#This Row],[Total Sales]]-(SalesDataTable[[#This Row],[Cost of Goods]]*SalesDataTable[[#This Row],[Units Sold]])</f>
        <v>80500</v>
      </c>
    </row>
    <row r="301" spans="1:9" ht="19" customHeight="1">
      <c r="A301" s="13">
        <v>46019</v>
      </c>
      <c r="B301" s="14" t="s">
        <v>19</v>
      </c>
      <c r="C301" s="14" t="s">
        <v>12</v>
      </c>
      <c r="D301" s="14" t="s">
        <v>10</v>
      </c>
      <c r="E301" s="15">
        <v>147</v>
      </c>
      <c r="F301" s="16">
        <v>3850</v>
      </c>
      <c r="G301" s="16">
        <v>2400</v>
      </c>
      <c r="H301" s="16">
        <f t="shared" si="4"/>
        <v>565950</v>
      </c>
      <c r="I301" s="4">
        <f>SalesDataTable[[#This Row],[Total Sales]]-(SalesDataTable[[#This Row],[Cost of Goods]]*SalesDataTable[[#This Row],[Units Sold]])</f>
        <v>213150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Sheet3</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AHMED RAAZIM</cp:lastModifiedBy>
  <cp:lastPrinted>2026-09-13T06:48:52Z</cp:lastPrinted>
  <dcterms:created xsi:type="dcterms:W3CDTF">2026-09-11T12:40:44Z</dcterms:created>
  <dcterms:modified xsi:type="dcterms:W3CDTF">2026-09-13T06:57:19Z</dcterms:modified>
</cp:coreProperties>
</file>